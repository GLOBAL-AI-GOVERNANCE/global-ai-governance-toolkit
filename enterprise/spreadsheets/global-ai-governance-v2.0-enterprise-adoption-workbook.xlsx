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16be65d53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d4e04dfedfe44e6"/>
    <x:sheet xmlns:r="http://schemas.openxmlformats.org/officeDocument/2006/relationships" name="Department Tracker" sheetId="2" r:id="R6d8b06f762d84c07"/>
    <x:sheet xmlns:r="http://schemas.openxmlformats.org/officeDocument/2006/relationships" name="Enterprise Risk Register" sheetId="3" r:id="R86a2be58baae43df"/>
    <x:sheet xmlns:r="http://schemas.openxmlformats.org/officeDocument/2006/relationships" name="Vendor Onboarding" sheetId="4" r:id="R7f5288f5792240c1"/>
    <x:sheet xmlns:r="http://schemas.openxmlformats.org/officeDocument/2006/relationships" name="Training Tracker" sheetId="5" r:id="Ra0c1fd4942774864"/>
    <x:sheet xmlns:r="http://schemas.openxmlformats.org/officeDocument/2006/relationships" name="Evidence Binder" sheetId="6" r:id="R92f6b21fafb54ffa"/>
    <x:sheet xmlns:r="http://schemas.openxmlformats.org/officeDocument/2006/relationships" name="Lists" sheetId="7" r:id="R7ca449fa8fae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7F1D1D"/>
      </x:patternFill>
    </x:fill>
    <x:fill>
      <x:patternFill patternType="solid">
        <x:fgColor rgb="5B21B6"/>
      </x:patternFill>
    </x:fill>
    <x:fill>
      <x:patternFill patternType="solid">
        <x:fgColor rgb="065F46"/>
      </x:patternFill>
    </x:fill>
    <x:fill>
      <x:patternFill patternType="solid">
        <x:fgColor rgb="92400E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cb98298b34da6" /><Relationship Type="http://schemas.openxmlformats.org/officeDocument/2006/relationships/theme" Target="/xl/theme/theme1.xml" Id="R12be9d8c17324cb9" /><Relationship Type="http://schemas.openxmlformats.org/officeDocument/2006/relationships/sharedStrings" Target="/xl/sharedStrings.xml" Id="Rc26a5744681749f0" /><Relationship Type="http://schemas.openxmlformats.org/officeDocument/2006/relationships/worksheet" Target="/xl/worksheets/sheet1.xml" Id="R2d4e04dfedfe44e6" /><Relationship Type="http://schemas.openxmlformats.org/officeDocument/2006/relationships/worksheet" Target="/xl/worksheets/sheet2.xml" Id="R6d8b06f762d84c07" /><Relationship Type="http://schemas.openxmlformats.org/officeDocument/2006/relationships/worksheet" Target="/xl/worksheets/sheet3.xml" Id="R86a2be58baae43df" /><Relationship Type="http://schemas.openxmlformats.org/officeDocument/2006/relationships/worksheet" Target="/xl/worksheets/sheet4.xml" Id="R7f5288f5792240c1" /><Relationship Type="http://schemas.openxmlformats.org/officeDocument/2006/relationships/worksheet" Target="/xl/worksheets/sheet5.xml" Id="Ra0c1fd4942774864" /><Relationship Type="http://schemas.openxmlformats.org/officeDocument/2006/relationships/worksheet" Target="/xl/worksheets/sheet6.xml" Id="R92f6b21fafb54ffa" /><Relationship Type="http://schemas.openxmlformats.org/officeDocument/2006/relationships/worksheet" Target="/xl/worksheets/sheet7.xml" Id="R7ca449fa8fae4fbd" /></Relationships>
</file>

<file path=xl/tables/table1.xml><?xml version="1.0" encoding="utf-8"?>
<x:table xmlns:x="http://schemas.openxmlformats.org/spreadsheetml/2006/main" id="1" name="DepartmentAdoptionTable" displayName="DepartmentAdoptionTable" ref="A1:J11" headerRowCount="1">
  <x:tableColumns count="10">
    <x:tableColumn id="1" name="Department"/>
    <x:tableColumn id="2" name="Executive Owner"/>
    <x:tableColumn id="3" name="Inventory Complete"/>
    <x:tableColumn id="4" name="Risk Reviews Complete"/>
    <x:tableColumn id="5" name="Evidence Binder Complete"/>
    <x:tableColumn id="6" name="Vendor Review Complete"/>
    <x:tableColumn id="7" name="Training Complete"/>
    <x:tableColumn id="8" name="Shutdown Paths Complete"/>
    <x:tableColumn id="9" name="Status"/>
    <x:tableColumn id="10" name="Overall %"/>
  </x:tableColumns>
  <x:tableStyleInfo name="TableStyleMedium2" showRowStripes="1"/>
</x:table>
</file>

<file path=xl/tables/table2.xml><?xml version="1.0" encoding="utf-8"?>
<x:table xmlns:x="http://schemas.openxmlformats.org/spreadsheetml/2006/main" id="2" name="EnterpriseRiskRegisterTable" displayName="EnterpriseRiskRegisterTable" ref="A1:I5" headerRowCount="1">
  <x:tableColumns count="9">
    <x:tableColumn id="1" name="Risk ID"/>
    <x:tableColumn id="2" name="Risk Name"/>
    <x:tableColumn id="3" name="Description"/>
    <x:tableColumn id="4" name="Owner"/>
    <x:tableColumn id="5" name="Impact"/>
    <x:tableColumn id="6" name="Likelihood"/>
    <x:tableColumn id="7" name="status"/>
    <x:tableColumn id="8" name="Mitigation"/>
    <x:tableColumn id="9" name="Next Review"/>
  </x:tableColumns>
  <x:tableStyleInfo name="TableStyleMedium2" showRowStripes="1"/>
</x:table>
</file>

<file path=xl/tables/table3.xml><?xml version="1.0" encoding="utf-8"?>
<x:table xmlns:x="http://schemas.openxmlformats.org/spreadsheetml/2006/main" id="3" name="VendorOnboardingTable" displayName="VendorOnboardingTable" ref="A1:I3" headerRowCount="1">
  <x:tableColumns count="9">
    <x:tableColumn id="1" name="Vendor"/>
    <x:tableColumn id="2" name="AI Product"/>
    <x:tableColumn id="3" name="Business Owner"/>
    <x:tableColumn id="4" name="Risk Tier"/>
    <x:tableColumn id="5" name="Data Used"/>
    <x:tableColumn id="6" name="Security Review"/>
    <x:tableColumn id="7" name="Privacy Review"/>
    <x:tableColumn id="8" name="Contract Controls"/>
    <x:tableColumn id="9" name="Decision"/>
  </x:tableColumns>
  <x:tableStyleInfo name="TableStyleMedium2" showRowStripes="1"/>
</x:table>
</file>

<file path=xl/tables/table4.xml><?xml version="1.0" encoding="utf-8"?>
<x:table xmlns:x="http://schemas.openxmlformats.org/spreadsheetml/2006/main" id="4" name="TrainingTrackerTable" displayName="TrainingTrackerTable" ref="A1:G5" headerRowCount="1">
  <x:tableColumns count="7">
    <x:tableColumn id="1" name="Audience"/>
    <x:tableColumn id="2" name="Owner"/>
    <x:tableColumn id="3" name="Training Required"/>
    <x:tableColumn id="4" name="Training Complete"/>
    <x:tableColumn id="5" name="Completion %"/>
    <x:tableColumn id="6" name="Next Session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videnceBinderTable" displayName="EvidenceBinderTable" ref="A1:K4" headerRowCount="1">
  <x:tableColumns count="11">
    <x:tableColumn id="1" name="System"/>
    <x:tableColumn id="2" name="Risk Tier"/>
    <x:tableColumn id="3" name="Owner"/>
    <x:tableColumn id="4" name="System Profile"/>
    <x:tableColumn id="5" name="Risk Assessment"/>
    <x:tableColumn id="6" name="Security Review"/>
    <x:tableColumn id="7" name="Privacy Review"/>
    <x:tableColumn id="8" name="Legal Review"/>
    <x:tableColumn id="9" name="Monitoring Plan"/>
    <x:tableColumn id="10" name="Shutdown Plan"/>
    <x:tableColumn id="11" name="Overall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50b2ed1235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3fcc3fb4c647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e307a9390444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982b814f7d40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304663de7f410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28" customHeight="1">
      <x:c r="A1" s="46" t="str">
        <x:v>Global AI Governance Solutions v2.0 Enterprise Adoption Dashboard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3">
      <x:c r="A3" s="4" t="str">
        <x:v>Metric</x:v>
      </x:c>
      <x:c r="B3" s="4" t="str">
        <x:v>Value</x:v>
      </x:c>
      <x:c r="C3" s="4" t="str">
        <x:v>Target</x:v>
      </x:c>
      <x:c r="D3" s="4" t="str">
        <x:v>status</x:v>
      </x:c>
    </x:row>
    <x:row r="4">
      <x:c r="A4" t="str">
        <x:v>Departments Tracked</x:v>
      </x:c>
      <x:c r="B4" s="8" t="n">
        <x:f>COUNTA('Department Tracker'!A2:A100)</x:f>
        <x:v>10</x:v>
      </x:c>
      <x:c r="C4" s="8" t="str">
        <x:v>10</x:v>
      </x:c>
      <x:c r="D4" t="str">
        <x:f>IF(B2&gt;=C2,"Green","Yellow")</x:f>
        <x:v>Green</x:v>
      </x:c>
    </x:row>
    <x:row r="5">
      <x:c r="A5" t="str">
        <x:v>Inventory Completion</x:v>
      </x:c>
      <x:c r="B5" s="8" t="n">
        <x:f>COUNTIF('Department Tracker'!C2:C100,"Yes")/COUNTA('Department Tracker'!A2:A100)</x:f>
        <x:v>0.7</x:v>
      </x:c>
      <x:c r="C5" s="8" t="str">
        <x:v>90%</x:v>
      </x:c>
      <x:c r="D5" t="str">
        <x:f>IF(B3&gt;=90%,"Green",IF(B3&gt;=70%,"Yellow","Red"))</x:f>
        <x:v>Green</x:v>
      </x:c>
    </x:row>
    <x:row r="6">
      <x:c r="A6" t="str">
        <x:v>Evidence Binder Completion</x:v>
      </x:c>
      <x:c r="B6" s="8" t="n">
        <x:f>COUNTIF('Department Tracker'!E2:E100,"Yes")/COUNTA('Department Tracker'!A2:A100)</x:f>
        <x:v>0.2</x:v>
      </x:c>
      <x:c r="C6" s="8" t="str">
        <x:v>90%</x:v>
      </x:c>
      <x:c r="D6" t="str">
        <x:f>IF(B4&gt;=90%,"Green",IF(B4&gt;=70%,"Yellow","Red"))</x:f>
        <x:v>Green</x:v>
      </x:c>
    </x:row>
    <x:row r="7">
      <x:c r="A7" t="str">
        <x:v>Training Completion</x:v>
      </x:c>
      <x:c r="B7" t="n">
        <x:f>COUNTIF('Department Tracker'!G2:G100,"Yes")/COUNTA('Department Tracker'!A2:A100)</x:f>
        <x:v>0.4</x:v>
      </x:c>
      <x:c r="C7" t="str">
        <x:v>90%</x:v>
      </x:c>
      <x:c r="D7" t="str">
        <x:f>IF(B5&gt;=90%,"Green",IF(B5&gt;=70%,"Yellow","Red"))</x:f>
        <x:v>Yellow</x:v>
      </x:c>
    </x:row>
    <x:row r="8">
      <x:c r="A8" t="str">
        <x:v>Shutdown Path Completion</x:v>
      </x:c>
      <x:c r="B8" t="n">
        <x:f>COUNTIF('Department Tracker'!H2:H100,"Yes")/COUNTA('Department Tracker'!A2:A100)</x:f>
        <x:v>0.2</x:v>
      </x:c>
      <x:c r="C8" t="str">
        <x:v>100%</x:v>
      </x:c>
      <x:c r="D8" t="str">
        <x:f>IF(B6&gt;=100%,"Green",IF(B6&gt;=70%,"Yellow","Red"))</x:f>
        <x:v>Red</x:v>
      </x:c>
    </x:row>
    <x:row r="9">
      <x:c r="A9" t="str">
        <x:v>At-Risk Departments</x:v>
      </x:c>
      <x:c r="B9" t="n">
        <x:f>COUNTIF('Department Tracker'!I2:I100,"At Risk")+COUNTIF('Department Tracker'!I2:I100,"Blocked")</x:f>
        <x:v>3</x:v>
      </x:c>
      <x:c r="C9" t="str">
        <x:v>0</x:v>
      </x:c>
      <x:c r="D9" t="str">
        <x:f>IF(B7=0,"Green",IF(B7&lt;=2,"Yellow","Red"))</x:f>
        <x:v>Yellow</x:v>
      </x:c>
    </x:row>
    <x:row r="11">
      <x:c r="A11" s="18" t="str">
        <x:v>Operating Law: No AI system moves faster than ownership, evidence, authority, and control.</x:v>
      </x:c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50" t="str">
        <x:v>Department</x:v>
      </x:c>
      <x:c r="B1" s="50" t="str">
        <x:v>Executive Owner</x:v>
      </x:c>
      <x:c r="C1" s="50" t="str">
        <x:v>Inventory Complete</x:v>
      </x:c>
      <x:c r="D1" s="50" t="str">
        <x:v>Risk Reviews Complete</x:v>
      </x:c>
      <x:c r="E1" s="50" t="str">
        <x:v>Evidence Binder Complete</x:v>
      </x:c>
      <x:c r="F1" s="50" t="str">
        <x:v>Vendor Review Complete</x:v>
      </x:c>
      <x:c r="G1" s="50" t="str">
        <x:v>Training Complete</x:v>
      </x:c>
      <x:c r="H1" s="50" t="str">
        <x:v>Shutdown Paths Complete</x:v>
      </x:c>
      <x:c r="I1" s="50" t="str">
        <x:v>Status</x:v>
      </x:c>
      <x:c r="J1" s="50" t="str">
        <x:v>Overall %</x:v>
      </x:c>
      <x:c r="K1" s="47"/>
    </x:row>
    <x:row r="2">
      <x:c r="A2" t="str">
        <x:v>Security</x:v>
      </x:c>
      <x:c r="B2" t="str">
        <x:v>CISO</x:v>
      </x:c>
      <x:c r="C2" t="str">
        <x:v>Yes</x:v>
      </x:c>
      <x:c r="D2" t="str">
        <x:v>Yes</x:v>
      </x:c>
      <x:c r="E2" t="str">
        <x:v>Yes</x:v>
      </x:c>
      <x:c r="F2" t="str">
        <x:v>Yes</x:v>
      </x:c>
      <x:c r="G2" t="str">
        <x:v>Yes</x:v>
      </x:c>
      <x:c r="H2" t="str">
        <x:v>Yes</x:v>
      </x:c>
      <x:c r="I2" t="str">
        <x:v>Operational</x:v>
      </x:c>
      <x:c r="J2" s="8" t="n">
        <x:f>((COUNTIF(C2:H2,"Yes"))+(COUNTIF(C2:H2,"Partial")*0.5))/6</x:f>
        <x:v>1</x:v>
      </x:c>
    </x:row>
    <x:row r="3">
      <x:c r="A3" t="str">
        <x:v>Legal</x:v>
      </x:c>
      <x:c r="B3" t="str">
        <x:v>General Counsel</x:v>
      </x:c>
      <x:c r="C3" t="str">
        <x:v>Yes</x:v>
      </x:c>
      <x:c r="D3" t="str">
        <x:v>Yes</x:v>
      </x:c>
      <x:c r="E3" t="str">
        <x:v>Partial</x:v>
      </x:c>
      <x:c r="F3" t="str">
        <x:v>Yes</x:v>
      </x:c>
      <x:c r="G3" t="str">
        <x:v>Yes</x:v>
      </x:c>
      <x:c r="H3" t="str">
        <x:v>Partial</x:v>
      </x:c>
      <x:c r="I3" t="str">
        <x:v>In Progress</x:v>
      </x:c>
      <x:c r="J3" s="8" t="n">
        <x:f>((COUNTIF(C3:H3,"Yes"))+(COUNTIF(C3:H3,"Partial")*0.5))/6</x:f>
        <x:v>0.8333333333333334</x:v>
      </x:c>
    </x:row>
    <x:row r="4">
      <x:c r="A4" t="str">
        <x:v>Privacy</x:v>
      </x:c>
      <x:c r="B4" t="str">
        <x:v>Chief Privacy Officer</x:v>
      </x:c>
      <x:c r="C4" t="str">
        <x:v>Yes</x:v>
      </x:c>
      <x:c r="D4" t="str">
        <x:v>Partial</x:v>
      </x:c>
      <x:c r="E4" t="str">
        <x:v>Partial</x:v>
      </x:c>
      <x:c r="F4" t="str">
        <x:v>Partial</x:v>
      </x:c>
      <x:c r="G4" t="str">
        <x:v>Yes</x:v>
      </x:c>
      <x:c r="H4" t="str">
        <x:v>Partial</x:v>
      </x:c>
      <x:c r="I4" t="str">
        <x:v>In Progress</x:v>
      </x:c>
      <x:c r="J4" s="8" t="n">
        <x:f>((COUNTIF(C4:H4,"Yes"))+(COUNTIF(C4:H4,"Partial")*0.5))/6</x:f>
        <x:v>0.6666666666666666</x:v>
      </x:c>
    </x:row>
    <x:row r="5">
      <x:c r="A5" t="str">
        <x:v>HR</x:v>
      </x:c>
      <x:c r="B5" t="str">
        <x:v>Chief People Officer</x:v>
      </x:c>
      <x:c r="C5" t="str">
        <x:v>Partial</x:v>
      </x:c>
      <x:c r="D5" t="str">
        <x:v>Partial</x:v>
      </x:c>
      <x:c r="E5" t="str">
        <x:v>No</x:v>
      </x:c>
      <x:c r="F5" t="str">
        <x:v>Partial</x:v>
      </x:c>
      <x:c r="G5" t="str">
        <x:v>Partial</x:v>
      </x:c>
      <x:c r="H5" t="str">
        <x:v>No</x:v>
      </x:c>
      <x:c r="I5" t="str">
        <x:v>At Risk</x:v>
      </x:c>
      <x:c r="J5" s="8" t="n">
        <x:f>((COUNTIF(C5:H5,"Yes"))+(COUNTIF(C5:H5,"Partial")*0.5))/6</x:f>
        <x:v>0.3333333333333333</x:v>
      </x:c>
    </x:row>
    <x:row r="6">
      <x:c r="A6" t="str">
        <x:v>Product</x:v>
      </x:c>
      <x:c r="B6" t="str">
        <x:v>Chief Product Officer</x:v>
      </x:c>
      <x:c r="C6" t="str">
        <x:v>Yes</x:v>
      </x:c>
      <x:c r="D6" t="str">
        <x:v>Partial</x:v>
      </x:c>
      <x:c r="E6" t="str">
        <x:v>Partial</x:v>
      </x:c>
      <x:c r="F6" t="str">
        <x:v>Partial</x:v>
      </x:c>
      <x:c r="G6" t="str">
        <x:v>Partial</x:v>
      </x:c>
      <x:c r="H6" t="str">
        <x:v>Partial</x:v>
      </x:c>
      <x:c r="I6" t="str">
        <x:v>In Progress</x:v>
      </x:c>
      <x:c r="J6" s="8" t="n">
        <x:f>((COUNTIF(C6:H6,"Yes"))+(COUNTIF(C6:H6,"Partial")*0.5))/6</x:f>
        <x:v>0.5833333333333334</x:v>
      </x:c>
    </x:row>
    <x:row r="7">
      <x:c r="A7" t="str">
        <x:v>Engineering</x:v>
      </x:c>
      <x:c r="B7" t="str">
        <x:v>CTO</x:v>
      </x:c>
      <x:c r="C7" t="str">
        <x:v>Yes</x:v>
      </x:c>
      <x:c r="D7" t="str">
        <x:v>Yes</x:v>
      </x:c>
      <x:c r="E7" t="str">
        <x:v>Partial</x:v>
      </x:c>
      <x:c r="F7" t="str">
        <x:v>Partial</x:v>
      </x:c>
      <x:c r="G7" t="str">
        <x:v>Partial</x:v>
      </x:c>
      <x:c r="H7" t="str">
        <x:v>Partial</x:v>
      </x:c>
      <x:c r="I7" t="str">
        <x:v>In Progress</x:v>
      </x:c>
      <x:c r="J7" s="8" t="n">
        <x:f>((COUNTIF(C7:H7,"Yes"))+(COUNTIF(C7:H7,"Partial")*0.5))/6</x:f>
        <x:v>0.6666666666666666</x:v>
      </x:c>
    </x:row>
    <x:row r="8">
      <x:c r="A8" t="str">
        <x:v>Customer Support</x:v>
      </x:c>
      <x:c r="B8" t="str">
        <x:v>COO</x:v>
      </x:c>
      <x:c r="C8" t="str">
        <x:v>Partial</x:v>
      </x:c>
      <x:c r="D8" t="str">
        <x:v>Partial</x:v>
      </x:c>
      <x:c r="E8" t="str">
        <x:v>No</x:v>
      </x:c>
      <x:c r="F8" t="str">
        <x:v>Partial</x:v>
      </x:c>
      <x:c r="G8" t="str">
        <x:v>Partial</x:v>
      </x:c>
      <x:c r="H8" t="str">
        <x:v>No</x:v>
      </x:c>
      <x:c r="I8" t="str">
        <x:v>At Risk</x:v>
      </x:c>
      <x:c r="J8" s="8" t="n">
        <x:f>((COUNTIF(C8:H8,"Yes"))+(COUNTIF(C8:H8,"Partial")*0.5))/6</x:f>
        <x:v>0.3333333333333333</x:v>
      </x:c>
    </x:row>
    <x:row r="9">
      <x:c r="A9" t="str">
        <x:v>Procurement</x:v>
      </x:c>
      <x:c r="B9" t="str">
        <x:v>CFO</x:v>
      </x:c>
      <x:c r="C9" t="str">
        <x:v>Partial</x:v>
      </x:c>
      <x:c r="D9" t="str">
        <x:v>No</x:v>
      </x:c>
      <x:c r="E9" t="str">
        <x:v>No</x:v>
      </x:c>
      <x:c r="F9" t="str">
        <x:v>Partial</x:v>
      </x:c>
      <x:c r="G9" t="str">
        <x:v>Partial</x:v>
      </x:c>
      <x:c r="H9" t="str">
        <x:v>No</x:v>
      </x:c>
      <x:c r="I9" t="str">
        <x:v>At Risk</x:v>
      </x:c>
      <x:c r="J9" s="8" t="n">
        <x:f>((COUNTIF(C9:H9,"Yes"))+(COUNTIF(C9:H9,"Partial")*0.5))/6</x:f>
        <x:v>0.25</x:v>
      </x:c>
    </x:row>
    <x:row r="10">
      <x:c r="A10" t="str">
        <x:v>Operations</x:v>
      </x:c>
      <x:c r="B10" t="str">
        <x:v>COO</x:v>
      </x:c>
      <x:c r="C10" t="str">
        <x:v>Yes</x:v>
      </x:c>
      <x:c r="D10" t="str">
        <x:v>Partial</x:v>
      </x:c>
      <x:c r="E10" t="str">
        <x:v>Partial</x:v>
      </x:c>
      <x:c r="F10" t="str">
        <x:v>Partial</x:v>
      </x:c>
      <x:c r="G10" t="str">
        <x:v>Partial</x:v>
      </x:c>
      <x:c r="H10" t="str">
        <x:v>Partial</x:v>
      </x:c>
      <x:c r="I10" t="str">
        <x:v>In Progress</x:v>
      </x:c>
      <x:c r="J10" s="8" t="n">
        <x:f>((COUNTIF(C10:H10,"Yes"))+(COUNTIF(C10:H10,"Partial")*0.5))/6</x:f>
        <x:v>0.5833333333333334</x:v>
      </x:c>
    </x:row>
    <x:row r="11">
      <x:c r="A11" t="str">
        <x:v>Executive Office</x:v>
      </x:c>
      <x:c r="B11" t="str">
        <x:v>CEO</x:v>
      </x:c>
      <x:c r="C11" t="str">
        <x:v>Yes</x:v>
      </x:c>
      <x:c r="D11" t="str">
        <x:v>Yes</x:v>
      </x:c>
      <x:c r="E11" t="str">
        <x:v>Yes</x:v>
      </x:c>
      <x:c r="F11" t="str">
        <x:v>Yes</x:v>
      </x:c>
      <x:c r="G11" t="str">
        <x:v>Yes</x:v>
      </x:c>
      <x:c r="H11" t="str">
        <x:v>Yes</x:v>
      </x:c>
      <x:c r="I11" t="str">
        <x:v>Operational</x:v>
      </x:c>
      <x:c r="J11" s="8" t="n">
        <x:f>((COUNTIF(C11:H11,"Yes"))+(COUNTIF(C11:H11,"Partial")*0.5))/6</x:f>
        <x:v>1</x:v>
      </x:c>
    </x:row>
    <x:row r="12">
      <x:c r="J12" s="8"/>
    </x:row>
    <x:row r="13">
      <x:c r="J13" s="8"/>
    </x:row>
    <x:row r="14">
      <x:c r="J14" s="8"/>
    </x:row>
    <x:row r="15">
      <x:c r="J15" s="8"/>
    </x:row>
    <x:row r="16">
      <x:c r="J16" s="8"/>
    </x:row>
    <x:row r="17">
      <x:c r="J17" s="8"/>
    </x:row>
    <x:row r="18">
      <x:c r="J18" s="8"/>
    </x:row>
    <x:row r="19">
      <x:c r="J19" s="8"/>
    </x:row>
    <x:row r="20">
      <x:c r="J20" s="8"/>
    </x:row>
    <x:row r="21">
      <x:c r="J21" s="8"/>
    </x:row>
    <x:row r="22">
      <x:c r="J22" s="8"/>
    </x:row>
    <x:row r="23">
      <x:c r="J23" s="8"/>
    </x:row>
    <x:row r="24">
      <x:c r="J24" s="8"/>
    </x:row>
    <x:row r="25">
      <x:c r="J25" s="8"/>
    </x:row>
    <x:row r="26">
      <x:c r="J26" s="8"/>
    </x:row>
    <x:row r="27">
      <x:c r="J27" s="8"/>
    </x:row>
    <x:row r="28">
      <x:c r="J28" s="8"/>
    </x:row>
    <x:row r="29">
      <x:c r="J29" s="8"/>
    </x:row>
    <x:row r="30">
      <x:c r="J30" s="8"/>
    </x:row>
    <x:row r="31">
      <x:c r="J31" s="8"/>
    </x:row>
    <x:row r="32">
      <x:c r="J32" s="8"/>
    </x:row>
    <x:row r="33">
      <x:c r="J33" s="8"/>
    </x:row>
    <x:row r="34">
      <x:c r="J34" s="8"/>
    </x:row>
    <x:row r="35">
      <x:c r="J35" s="8"/>
    </x:row>
    <x:row r="36">
      <x:c r="J36" s="8"/>
    </x:row>
    <x:row r="37">
      <x:c r="J37" s="8"/>
    </x:row>
    <x:row r="38">
      <x:c r="J38" s="8"/>
    </x:row>
    <x:row r="39">
      <x:c r="J39" s="8"/>
    </x:row>
    <x:row r="40">
      <x:c r="J40" s="8"/>
    </x:row>
    <x:row r="41">
      <x:c r="J41" s="8"/>
    </x:row>
    <x:row r="42">
      <x:c r="J42" s="8"/>
    </x:row>
    <x:row r="43">
      <x:c r="J43" s="8"/>
    </x:row>
    <x:row r="44">
      <x:c r="J44" s="8"/>
    </x:row>
    <x:row r="45">
      <x:c r="J45" s="8"/>
    </x:row>
    <x:row r="46">
      <x:c r="J46" s="8"/>
    </x:row>
    <x:row r="47">
      <x:c r="J47" s="8"/>
    </x:row>
    <x:row r="48">
      <x:c r="J48" s="8"/>
    </x:row>
    <x:row r="49">
      <x:c r="J49" s="8"/>
    </x:row>
    <x:row r="50">
      <x:c r="J50" s="8"/>
    </x:row>
    <x:row r="51">
      <x:c r="J51" s="8"/>
    </x:row>
    <x:row r="52">
      <x:c r="J52" s="8"/>
    </x:row>
    <x:row r="53">
      <x:c r="J53" s="8"/>
    </x:row>
    <x:row r="54">
      <x:c r="J54" s="8"/>
    </x:row>
    <x:row r="55">
      <x:c r="J55" s="8"/>
    </x:row>
    <x:row r="56">
      <x:c r="J56" s="8"/>
    </x:row>
    <x:row r="57">
      <x:c r="J57" s="8"/>
    </x:row>
    <x:row r="58">
      <x:c r="J58" s="8"/>
    </x:row>
    <x:row r="59">
      <x:c r="J59" s="8"/>
    </x:row>
    <x:row r="60">
      <x:c r="J60" s="8"/>
    </x:row>
    <x:row r="61">
      <x:c r="J61" s="8"/>
    </x:row>
    <x:row r="62">
      <x:c r="J62" s="8"/>
    </x:row>
    <x:row r="63">
      <x:c r="J63" s="8"/>
    </x:row>
    <x:row r="64">
      <x:c r="J64" s="8"/>
    </x:row>
    <x:row r="65">
      <x:c r="J65" s="8"/>
    </x:row>
    <x:row r="66">
      <x:c r="J66" s="8"/>
    </x:row>
    <x:row r="67">
      <x:c r="J67" s="8"/>
    </x:row>
    <x:row r="68">
      <x:c r="J68" s="8"/>
    </x:row>
    <x:row r="69">
      <x:c r="J69" s="8"/>
    </x:row>
    <x:row r="70">
      <x:c r="J70" s="8"/>
    </x:row>
    <x:row r="71">
      <x:c r="J71" s="8"/>
    </x:row>
    <x:row r="72">
      <x:c r="J72" s="8"/>
    </x:row>
    <x:row r="73">
      <x:c r="J73" s="8"/>
    </x:row>
    <x:row r="74">
      <x:c r="J74" s="8"/>
    </x:row>
    <x:row r="75">
      <x:c r="J75" s="8"/>
    </x:row>
    <x:row r="76">
      <x:c r="J76" s="8"/>
    </x:row>
    <x:row r="77">
      <x:c r="J77" s="8"/>
    </x:row>
    <x:row r="78">
      <x:c r="J78" s="8"/>
    </x:row>
    <x:row r="79">
      <x:c r="J79" s="8"/>
    </x:row>
    <x:row r="80">
      <x:c r="J80" s="8"/>
    </x:row>
    <x:row r="81">
      <x:c r="J81" s="8"/>
    </x:row>
    <x:row r="82">
      <x:c r="J82" s="8"/>
    </x:row>
    <x:row r="83">
      <x:c r="J83" s="8"/>
    </x:row>
    <x:row r="84">
      <x:c r="J84" s="8"/>
    </x:row>
    <x:row r="85">
      <x:c r="J85" s="8"/>
    </x:row>
    <x:row r="86">
      <x:c r="J86" s="8"/>
    </x:row>
    <x:row r="87">
      <x:c r="J87" s="8"/>
    </x:row>
    <x:row r="88">
      <x:c r="J88" s="8"/>
    </x:row>
    <x:row r="89">
      <x:c r="J89" s="8"/>
    </x:row>
    <x:row r="90">
      <x:c r="J90" s="8"/>
    </x:row>
    <x:row r="91">
      <x:c r="J91" s="8"/>
    </x:row>
    <x:row r="92">
      <x:c r="J92" s="8"/>
    </x:row>
    <x:row r="93">
      <x:c r="J93" s="8"/>
    </x:row>
    <x:row r="94">
      <x:c r="J94" s="8"/>
    </x:row>
    <x:row r="95">
      <x:c r="J95" s="8"/>
    </x:row>
    <x:row r="96">
      <x:c r="J96" s="8"/>
    </x:row>
    <x:row r="97">
      <x:c r="J97" s="8"/>
    </x:row>
    <x:row r="98">
      <x:c r="J98" s="8"/>
    </x:row>
    <x:row r="99">
      <x:c r="J99" s="8"/>
    </x:row>
    <x:row r="100">
      <x:c r="J100" s="8"/>
    </x:row>
  </x:sheetData>
  <x:conditionalFormatting sqref="J2:J10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dataValidations count="1">
    <x:dataValidation type="list" sqref="C2:I100">
      <x:formula1>"Yes,Partial,No,Operational,In Progress,At Risk,Blocked"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50b2ed123546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52" t="str">
        <x:v>Risk ID</x:v>
      </x:c>
      <x:c r="B1" s="52" t="str">
        <x:v>Risk Name</x:v>
      </x:c>
      <x:c r="C1" s="52" t="str">
        <x:v>Description</x:v>
      </x:c>
      <x:c r="D1" s="52" t="str">
        <x:v>Owner</x:v>
      </x:c>
      <x:c r="E1" s="52" t="str">
        <x:v>Impact</x:v>
      </x:c>
      <x:c r="F1" s="52" t="str">
        <x:v>Likelihood</x:v>
      </x:c>
      <x:c r="G1" s="52" t="str">
        <x:v>status</x:v>
      </x:c>
      <x:c r="H1" s="52" t="str">
        <x:v>Mitigation</x:v>
      </x:c>
      <x:c r="I1" s="52" t="str">
        <x:v>Next Review</x:v>
      </x:c>
      <x:c r="J1" s="47"/>
      <x:c r="K1" s="47"/>
    </x:row>
    <x:row r="2">
      <x:c r="A2" t="str">
        <x:v>R-001</x:v>
      </x:c>
      <x:c r="B2" t="str">
        <x:v>Uninventoried AI Use</x:v>
      </x:c>
      <x:c r="C2" t="str">
        <x:v>Shadow AI may bypass governance</x:v>
      </x:c>
      <x:c r="D2" t="str">
        <x:v>CIO</x:v>
      </x:c>
      <x:c r="E2" t="str">
        <x:v>High</x:v>
      </x:c>
      <x:c r="F2" t="str">
        <x:v>High</x:v>
      </x:c>
      <x:c r="G2" t="str">
        <x:v>Open</x:v>
      </x:c>
      <x:c r="H2" t="str">
        <x:v>Launch enterprise discovery</x:v>
      </x:c>
      <x:c r="I2" t="str">
        <x:v>2026-07-01</x:v>
      </x:c>
    </x:row>
    <x:row r="3">
      <x:c r="A3" t="str">
        <x:v>R-002</x:v>
      </x:c>
      <x:c r="B3" t="str">
        <x:v>Vendor Data Exposure</x:v>
      </x:c>
      <x:c r="C3" t="str">
        <x:v>Vendors may retain or train on enterprise data</x:v>
      </x:c>
      <x:c r="D3" t="str">
        <x:v>CPO</x:v>
      </x:c>
      <x:c r="E3" t="str">
        <x:v>High</x:v>
      </x:c>
      <x:c r="F3" t="str">
        <x:v>Medium</x:v>
      </x:c>
      <x:c r="G3" t="str">
        <x:v>Open</x:v>
      </x:c>
      <x:c r="H3" t="str">
        <x:v>Add contract controls</x:v>
      </x:c>
      <x:c r="I3" t="str">
        <x:v>2026-07-15</x:v>
      </x:c>
    </x:row>
    <x:row r="4">
      <x:c r="A4" t="str">
        <x:v>R-003</x:v>
      </x:c>
      <x:c r="B4" t="str">
        <x:v>Missing Shutdown Paths</x:v>
      </x:c>
      <x:c r="C4" t="str">
        <x:v>Some systems may not be stoppable</x:v>
      </x:c>
      <x:c r="D4" t="str">
        <x:v>CISO</x:v>
      </x:c>
      <x:c r="E4" t="str">
        <x:v>Critical</x:v>
      </x:c>
      <x:c r="F4" t="str">
        <x:v>Medium</x:v>
      </x:c>
      <x:c r="G4" t="str">
        <x:v>Open</x:v>
      </x:c>
      <x:c r="H4" t="str">
        <x:v>Require shutdown testing</x:v>
      </x:c>
      <x:c r="I4" t="str">
        <x:v>2026-07-15</x:v>
      </x:c>
    </x:row>
    <x:row r="5">
      <x:c r="A5" t="str">
        <x:v>R-004</x:v>
      </x:c>
      <x:c r="B5" t="str">
        <x:v>No Appeal Process</x:v>
      </x:c>
      <x:c r="C5" t="str">
        <x:v>High-impact systems may lack appeal</x:v>
      </x:c>
      <x:c r="D5" t="str">
        <x:v>General Counsel</x:v>
      </x:c>
      <x:c r="E5" t="str">
        <x:v>High</x:v>
      </x:c>
      <x:c r="F5" t="str">
        <x:v>Medium</x:v>
      </x:c>
      <x:c r="G5" t="str">
        <x:v>Open</x:v>
      </x:c>
      <x:c r="H5" t="str">
        <x:v>Implement appeal workflow</x:v>
      </x:c>
      <x:c r="I5" t="str">
        <x:v>2026-08-01</x:v>
      </x:c>
    </x:row>
  </x:sheetData>
  <x:dataValidations count="1">
    <x:dataValidation type="list" sqref="E2:F100">
      <x:formula1>"Low,Moderate,Medium,High,Critical,Very 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fcc3fb4c647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54" t="str">
        <x:v>Vendor</x:v>
      </x:c>
      <x:c r="B1" s="54" t="str">
        <x:v>AI Product</x:v>
      </x:c>
      <x:c r="C1" s="54" t="str">
        <x:v>Business Owner</x:v>
      </x:c>
      <x:c r="D1" s="54" t="str">
        <x:v>Risk Tier</x:v>
      </x:c>
      <x:c r="E1" s="54" t="str">
        <x:v>Data Used</x:v>
      </x:c>
      <x:c r="F1" s="54" t="str">
        <x:v>Security Review</x:v>
      </x:c>
      <x:c r="G1" s="54" t="str">
        <x:v>Privacy Review</x:v>
      </x:c>
      <x:c r="H1" s="54" t="str">
        <x:v>Contract Controls</x:v>
      </x:c>
      <x:c r="I1" s="54" t="str">
        <x:v>Decision</x:v>
      </x:c>
      <x:c r="J1" s="47"/>
      <x:c r="K1" s="47"/>
    </x:row>
    <x:row r="2">
      <x:c r="A2" t="str">
        <x:v>Example Vendor A</x:v>
      </x:c>
      <x:c r="B2" t="str">
        <x:v>Support AI</x:v>
      </x:c>
      <x:c r="C2" t="str">
        <x:v>COO</x:v>
      </x:c>
      <x:c r="D2" t="str">
        <x:v>High</x:v>
      </x:c>
      <x:c r="E2" t="str">
        <x:v>Customer data</x:v>
      </x:c>
      <x:c r="F2" t="str">
        <x:v>Partial</x:v>
      </x:c>
      <x:c r="G2" t="str">
        <x:v>Partial</x:v>
      </x:c>
      <x:c r="H2" t="str">
        <x:v>No</x:v>
      </x:c>
      <x:c r="I2" t="str">
        <x:v>More Info Required</x:v>
      </x:c>
    </x:row>
    <x:row r="3">
      <x:c r="A3" t="str">
        <x:v>Example Vendor B</x:v>
      </x:c>
      <x:c r="B3" t="str">
        <x:v>Internal Drafting Tool</x:v>
      </x:c>
      <x:c r="C3" t="str">
        <x:v>CIO</x:v>
      </x:c>
      <x:c r="D3" t="str">
        <x:v>Moderate</x:v>
      </x:c>
      <x:c r="E3" t="str">
        <x:v>Internal data</x:v>
      </x:c>
      <x:c r="F3" t="str">
        <x:v>Yes</x:v>
      </x:c>
      <x:c r="G3" t="str">
        <x:v>Yes</x:v>
      </x:c>
      <x:c r="H3" t="str">
        <x:v>Partial</x:v>
      </x:c>
      <x:c r="I3" t="str">
        <x:v>Approved with Restrictions</x:v>
      </x:c>
    </x:row>
  </x:sheetData>
  <x:dataValidations count="2">
    <x:dataValidation type="list" sqref="D2:D100">
      <x:formula1>"Low,Moderate,High,Critical,Frontier"</x:formula1>
    </x:dataValidation>
    <x:dataValidation type="list" sqref="F2:H100">
      <x:formula1>"Yes,Partial,No"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e307a9390444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56" t="str">
        <x:v>Audience</x:v>
      </x:c>
      <x:c r="B1" s="56" t="str">
        <x:v>Owner</x:v>
      </x:c>
      <x:c r="C1" s="56" t="str">
        <x:v>Training Required</x:v>
      </x:c>
      <x:c r="D1" s="56" t="str">
        <x:v>Training Complete</x:v>
      </x:c>
      <x:c r="E1" s="56" t="str">
        <x:v>Completion %</x:v>
      </x:c>
      <x:c r="F1" s="56" t="str">
        <x:v>Next Session</x:v>
      </x:c>
      <x:c r="G1" s="56" t="str">
        <x:v>Notes</x:v>
      </x:c>
      <x:c r="H1" s="47"/>
      <x:c r="I1" s="47"/>
      <x:c r="J1" s="47"/>
      <x:c r="K1" s="47"/>
    </x:row>
    <x:row r="2">
      <x:c r="A2" t="str">
        <x:v>Executives</x:v>
      </x:c>
      <x:c r="B2" t="str">
        <x:v>Executive Sponsor</x:v>
      </x:c>
      <x:c r="C2" t="str">
        <x:v>Yes</x:v>
      </x:c>
      <x:c r="D2" t="str">
        <x:v>Partial</x:v>
      </x:c>
      <x:c r="E2" s="8" t="n">
        <x:f>IF(D2="Yes",1,IF(D2="Partial",0.5,0))</x:f>
        <x:v>0.5</x:v>
      </x:c>
      <x:c r="F2" t="str">
        <x:v>2026-07-01</x:v>
      </x:c>
      <x:c r="G2" t="str">
        <x:v>Board-level training</x:v>
      </x:c>
    </x:row>
    <x:row r="3">
      <x:c r="A3" t="str">
        <x:v>AI Owners</x:v>
      </x:c>
      <x:c r="B3" t="str">
        <x:v>CIO</x:v>
      </x:c>
      <x:c r="C3" t="str">
        <x:v>Yes</x:v>
      </x:c>
      <x:c r="D3" t="str">
        <x:v>Partial</x:v>
      </x:c>
      <x:c r="E3" s="8" t="n">
        <x:f>IF(D3="Yes",1,IF(D3="Partial",0.5,0))</x:f>
        <x:v>0.5</x:v>
      </x:c>
      <x:c r="F3" t="str">
        <x:v>2026-07-08</x:v>
      </x:c>
      <x:c r="G3" t="str">
        <x:v>System owner responsibilities</x:v>
      </x:c>
    </x:row>
    <x:row r="4">
      <x:c r="A4" t="str">
        <x:v>Reviewers</x:v>
      </x:c>
      <x:c r="B4" t="str">
        <x:v>General Counsel</x:v>
      </x:c>
      <x:c r="C4" t="str">
        <x:v>Yes</x:v>
      </x:c>
      <x:c r="D4" t="str">
        <x:v>No</x:v>
      </x:c>
      <x:c r="E4" s="8" t="n">
        <x:f>IF(D4="Yes",1,IF(D4="Partial",0.5,0))</x:f>
        <x:v>0</x:v>
      </x:c>
      <x:c r="F4" t="str">
        <x:v>2026-07-15</x:v>
      </x:c>
      <x:c r="G4" t="str">
        <x:v>Legal/security/privacy/risk review</x:v>
      </x:c>
    </x:row>
    <x:row r="5">
      <x:c r="A5" t="str">
        <x:v>All Employees</x:v>
      </x:c>
      <x:c r="B5" t="str">
        <x:v>HR</x:v>
      </x:c>
      <x:c r="C5" t="str">
        <x:v>Yes</x:v>
      </x:c>
      <x:c r="D5" t="str">
        <x:v>Partial</x:v>
      </x:c>
      <x:c r="E5" s="8" t="n">
        <x:f>IF(D5="Yes",1,IF(D5="Partial",0.5,0))</x:f>
        <x:v>0.5</x:v>
      </x:c>
      <x:c r="F5" t="str">
        <x:v>2026-07-22</x:v>
      </x:c>
      <x:c r="G5" t="str">
        <x:v>Acceptable AI use</x:v>
      </x:c>
    </x:row>
    <x:row r="6">
      <x:c r="E6" s="8"/>
    </x:row>
    <x:row r="7">
      <x:c r="E7" s="8"/>
    </x:row>
    <x:row r="8">
      <x:c r="E8" s="8"/>
    </x:row>
    <x:row r="9">
      <x:c r="E9" s="8"/>
    </x:row>
    <x:row r="10">
      <x:c r="E10" s="8"/>
    </x:row>
    <x:row r="11">
      <x:c r="E11" s="8"/>
    </x:row>
    <x:row r="12">
      <x:c r="E12" s="8"/>
    </x:row>
    <x:row r="13">
      <x:c r="E13" s="8"/>
    </x:row>
    <x:row r="14">
      <x:c r="E14" s="8"/>
    </x:row>
    <x:row r="15">
      <x:c r="E15" s="8"/>
    </x:row>
    <x:row r="16">
      <x:c r="E16" s="8"/>
    </x:row>
    <x:row r="17">
      <x:c r="E17" s="8"/>
    </x:row>
    <x:row r="18">
      <x:c r="E18" s="8"/>
    </x:row>
    <x:row r="19">
      <x:c r="E19" s="8"/>
    </x:row>
    <x:row r="20">
      <x:c r="E20" s="8"/>
    </x:row>
    <x:row r="21">
      <x:c r="E21" s="8"/>
    </x:row>
    <x:row r="22">
      <x:c r="E22" s="8"/>
    </x:row>
    <x:row r="23">
      <x:c r="E23" s="8"/>
    </x:row>
    <x:row r="24">
      <x:c r="E24" s="8"/>
    </x:row>
    <x:row r="25">
      <x:c r="E25" s="8"/>
    </x:row>
    <x:row r="26">
      <x:c r="E26" s="8"/>
    </x:row>
    <x:row r="27">
      <x:c r="E27" s="8"/>
    </x:row>
    <x:row r="28">
      <x:c r="E28" s="8"/>
    </x:row>
    <x:row r="29">
      <x:c r="E29" s="8"/>
    </x:row>
    <x:row r="30">
      <x:c r="E30" s="8"/>
    </x:row>
    <x:row r="31">
      <x:c r="E31" s="8"/>
    </x:row>
    <x:row r="32">
      <x:c r="E32" s="8"/>
    </x:row>
    <x:row r="33">
      <x:c r="E33" s="8"/>
    </x:row>
    <x:row r="34">
      <x:c r="E34" s="8"/>
    </x:row>
    <x:row r="35">
      <x:c r="E35" s="8"/>
    </x:row>
    <x:row r="36">
      <x:c r="E36" s="8"/>
    </x:row>
    <x:row r="37">
      <x:c r="E37" s="8"/>
    </x:row>
    <x:row r="38">
      <x:c r="E38" s="8"/>
    </x:row>
    <x:row r="39">
      <x:c r="E39" s="8"/>
    </x:row>
    <x:row r="40">
      <x:c r="E40" s="8"/>
    </x:row>
    <x:row r="41">
      <x:c r="E41" s="8"/>
    </x:row>
    <x:row r="42">
      <x:c r="E42" s="8"/>
    </x:row>
    <x:row r="43">
      <x:c r="E43" s="8"/>
    </x:row>
    <x:row r="44">
      <x:c r="E44" s="8"/>
    </x:row>
    <x:row r="45">
      <x:c r="E45" s="8"/>
    </x:row>
    <x:row r="46">
      <x:c r="E46" s="8"/>
    </x:row>
    <x:row r="47">
      <x:c r="E47" s="8"/>
    </x:row>
    <x:row r="48">
      <x:c r="E48" s="8"/>
    </x:row>
    <x:row r="49">
      <x:c r="E49" s="8"/>
    </x:row>
    <x:row r="50">
      <x:c r="E50" s="8"/>
    </x:row>
    <x:row r="51">
      <x:c r="E51" s="8"/>
    </x:row>
    <x:row r="52">
      <x:c r="E52" s="8"/>
    </x:row>
    <x:row r="53">
      <x:c r="E53" s="8"/>
    </x:row>
    <x:row r="54">
      <x:c r="E54" s="8"/>
    </x:row>
    <x:row r="55">
      <x:c r="E55" s="8"/>
    </x:row>
    <x:row r="56">
      <x:c r="E56" s="8"/>
    </x:row>
    <x:row r="57">
      <x:c r="E57" s="8"/>
    </x:row>
    <x:row r="58">
      <x:c r="E58" s="8"/>
    </x:row>
    <x:row r="59">
      <x:c r="E59" s="8"/>
    </x:row>
    <x:row r="60">
      <x:c r="E60" s="8"/>
    </x:row>
    <x:row r="61">
      <x:c r="E61" s="8"/>
    </x:row>
    <x:row r="62">
      <x:c r="E62" s="8"/>
    </x:row>
    <x:row r="63">
      <x:c r="E63" s="8"/>
    </x:row>
    <x:row r="64">
      <x:c r="E64" s="8"/>
    </x:row>
    <x:row r="65">
      <x:c r="E65" s="8"/>
    </x:row>
    <x:row r="66">
      <x:c r="E66" s="8"/>
    </x:row>
    <x:row r="67">
      <x:c r="E67" s="8"/>
    </x:row>
    <x:row r="68">
      <x:c r="E68" s="8"/>
    </x:row>
    <x:row r="69">
      <x:c r="E69" s="8"/>
    </x:row>
    <x:row r="70">
      <x:c r="E70" s="8"/>
    </x:row>
    <x:row r="71">
      <x:c r="E71" s="8"/>
    </x:row>
    <x:row r="72">
      <x:c r="E72" s="8"/>
    </x:row>
    <x:row r="73">
      <x:c r="E73" s="8"/>
    </x:row>
    <x:row r="74">
      <x:c r="E74" s="8"/>
    </x:row>
    <x:row r="75">
      <x:c r="E75" s="8"/>
    </x:row>
    <x:row r="76">
      <x:c r="E76" s="8"/>
    </x:row>
    <x:row r="77">
      <x:c r="E77" s="8"/>
    </x:row>
    <x:row r="78">
      <x:c r="E78" s="8"/>
    </x:row>
    <x:row r="79">
      <x:c r="E79" s="8"/>
    </x:row>
    <x:row r="80">
      <x:c r="E80" s="8"/>
    </x:row>
    <x:row r="81">
      <x:c r="E81" s="8"/>
    </x:row>
    <x:row r="82">
      <x:c r="E82" s="8"/>
    </x:row>
    <x:row r="83">
      <x:c r="E83" s="8"/>
    </x:row>
    <x:row r="84">
      <x:c r="E84" s="8"/>
    </x:row>
    <x:row r="85">
      <x:c r="E85" s="8"/>
    </x:row>
    <x:row r="86">
      <x:c r="E86" s="8"/>
    </x:row>
    <x:row r="87">
      <x:c r="E87" s="8"/>
    </x:row>
    <x:row r="88">
      <x:c r="E88" s="8"/>
    </x:row>
    <x:row r="89">
      <x:c r="E89" s="8"/>
    </x:row>
    <x:row r="90">
      <x:c r="E90" s="8"/>
    </x:row>
    <x:row r="91">
      <x:c r="E91" s="8"/>
    </x:row>
    <x:row r="92">
      <x:c r="E92" s="8"/>
    </x:row>
    <x:row r="93">
      <x:c r="E93" s="8"/>
    </x:row>
    <x:row r="94">
      <x:c r="E94" s="8"/>
    </x:row>
    <x:row r="95">
      <x:c r="E95" s="8"/>
    </x:row>
    <x:row r="96">
      <x:c r="E96" s="8"/>
    </x:row>
    <x:row r="97">
      <x:c r="E97" s="8"/>
    </x:row>
    <x:row r="98">
      <x:c r="E98" s="8"/>
    </x:row>
    <x:row r="99">
      <x:c r="E99" s="8"/>
    </x:row>
    <x:row r="100">
      <x:c r="E100" s="8"/>
    </x:row>
  </x:sheetData>
  <x:dataValidations count="1">
    <x:dataValidation type="list" sqref="C2:D100">
      <x:formula1>"Yes,Partial,No"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982b814f7d40e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8" t="str">
        <x:v>System</x:v>
      </x:c>
      <x:c r="B1" s="58" t="str">
        <x:v>Risk Tier</x:v>
      </x:c>
      <x:c r="C1" s="58" t="str">
        <x:v>Owner</x:v>
      </x:c>
      <x:c r="D1" s="58" t="str">
        <x:v>System Profile</x:v>
      </x:c>
      <x:c r="E1" s="58" t="str">
        <x:v>Risk Assessment</x:v>
      </x:c>
      <x:c r="F1" s="58" t="str">
        <x:v>Security Review</x:v>
      </x:c>
      <x:c r="G1" s="58" t="str">
        <x:v>Privacy Review</x:v>
      </x:c>
      <x:c r="H1" s="58" t="str">
        <x:v>Legal Review</x:v>
      </x:c>
      <x:c r="I1" s="58" t="str">
        <x:v>Monitoring Plan</x:v>
      </x:c>
      <x:c r="J1" s="58" t="str">
        <x:v>Shutdown Plan</x:v>
      </x:c>
      <x:c r="K1" s="58" t="str">
        <x:v>Overall %</x:v>
      </x:c>
    </x:row>
    <x:row r="2">
      <x:c r="A2" t="str">
        <x:v>Benefits Eligibility Assistant</x:v>
      </x:c>
      <x:c r="B2" t="str">
        <x:v>High</x:v>
      </x:c>
      <x:c r="C2" t="str">
        <x:v>People Ops</x:v>
      </x:c>
      <x:c r="D2" t="str">
        <x:v>Yes</x:v>
      </x:c>
      <x:c r="E2" t="str">
        <x:v>Yes</x:v>
      </x:c>
      <x:c r="F2" t="str">
        <x:v>Partial</x:v>
      </x:c>
      <x:c r="G2" t="str">
        <x:v>Partial</x:v>
      </x:c>
      <x:c r="H2" t="str">
        <x:v>Partial</x:v>
      </x:c>
      <x:c r="I2" t="str">
        <x:v>Yes</x:v>
      </x:c>
      <x:c r="J2" t="str">
        <x:v>Yes</x:v>
      </x:c>
      <x:c r="K2" s="8" t="n">
        <x:f>((COUNTIF(D2:J2,"Yes"))+(COUNTIF(D2:J2,"Partial")*0.5))/7</x:f>
        <x:v>0.7857142857142857</x:v>
      </x:c>
    </x:row>
    <x:row r="3">
      <x:c r="A3" t="str">
        <x:v>Frontier Operations Agent</x:v>
      </x:c>
      <x:c r="B3" t="str">
        <x:v>Frontier</x:v>
      </x:c>
      <x:c r="C3" t="str">
        <x:v>Security</x:v>
      </x:c>
      <x:c r="D3" t="str">
        <x:v>Partial</x:v>
      </x:c>
      <x:c r="E3" t="str">
        <x:v>Partial</x:v>
      </x:c>
      <x:c r="F3" t="str">
        <x:v>No</x:v>
      </x:c>
      <x:c r="G3" t="str">
        <x:v>No</x:v>
      </x:c>
      <x:c r="H3" t="str">
        <x:v>No</x:v>
      </x:c>
      <x:c r="I3" t="str">
        <x:v>No</x:v>
      </x:c>
      <x:c r="J3" t="str">
        <x:v>No</x:v>
      </x:c>
      <x:c r="K3" s="8" t="n">
        <x:f>((COUNTIF(D3:J3,"Yes"))+(COUNTIF(D3:J3,"Partial")*0.5))/7</x:f>
        <x:v>0.14285714285714285</x:v>
      </x:c>
    </x:row>
    <x:row r="4">
      <x:c r="A4" t="str">
        <x:v>Internal FAQ Chatbot</x:v>
      </x:c>
      <x:c r="B4" t="str">
        <x:v>Low</x:v>
      </x:c>
      <x:c r="C4" t="str">
        <x:v>Operations</x:v>
      </x:c>
      <x:c r="D4" t="str">
        <x:v>Yes</x:v>
      </x:c>
      <x:c r="E4" t="str">
        <x:v>Yes</x:v>
      </x:c>
      <x:c r="F4" t="str">
        <x:v>Yes</x:v>
      </x:c>
      <x:c r="G4" t="str">
        <x:v>Yes</x:v>
      </x:c>
      <x:c r="H4" t="str">
        <x:v>N/A</x:v>
      </x:c>
      <x:c r="I4" t="str">
        <x:v>Yes</x:v>
      </x:c>
      <x:c r="J4" t="str">
        <x:v>Yes</x:v>
      </x:c>
      <x:c r="K4" s="8" t="n">
        <x:f>((COUNTIF(D4:J4,"Yes"))+(COUNTIF(D4:J4,"Partial")*0.5))/7</x:f>
        <x:v>0.8571428571428571</x:v>
      </x:c>
    </x:row>
    <x:row r="5">
      <x:c r="K5" s="8"/>
    </x:row>
    <x:row r="6">
      <x:c r="K6" s="8"/>
    </x:row>
    <x:row r="7">
      <x:c r="K7" s="8"/>
    </x:row>
    <x:row r="8">
      <x:c r="K8" s="8"/>
    </x:row>
    <x:row r="9">
      <x:c r="K9" s="8"/>
    </x:row>
    <x:row r="10">
      <x:c r="K10" s="8"/>
    </x:row>
    <x:row r="11">
      <x:c r="K11" s="8"/>
    </x:row>
    <x:row r="12">
      <x:c r="K12" s="8"/>
    </x:row>
    <x:row r="13">
      <x:c r="K13" s="8"/>
    </x:row>
    <x:row r="14">
      <x:c r="K14" s="8"/>
    </x:row>
    <x:row r="15">
      <x:c r="K15" s="8"/>
    </x:row>
    <x:row r="16">
      <x:c r="K16" s="8"/>
    </x:row>
    <x:row r="17">
      <x:c r="K17" s="8"/>
    </x:row>
    <x:row r="18">
      <x:c r="K18" s="8"/>
    </x:row>
    <x:row r="19">
      <x:c r="K19" s="8"/>
    </x:row>
    <x:row r="20">
      <x:c r="K20" s="8"/>
    </x:row>
    <x:row r="21">
      <x:c r="K21" s="8"/>
    </x:row>
    <x:row r="22">
      <x:c r="K22" s="8"/>
    </x:row>
    <x:row r="23">
      <x:c r="K23" s="8"/>
    </x:row>
    <x:row r="24">
      <x:c r="K24" s="8"/>
    </x:row>
    <x:row r="25">
      <x:c r="K25" s="8"/>
    </x:row>
    <x:row r="26">
      <x:c r="K26" s="8"/>
    </x:row>
    <x:row r="27">
      <x:c r="K27" s="8"/>
    </x:row>
    <x:row r="28">
      <x:c r="K28" s="8"/>
    </x:row>
    <x:row r="29">
      <x:c r="K29" s="8"/>
    </x:row>
    <x:row r="30">
      <x:c r="K30" s="8"/>
    </x:row>
    <x:row r="31">
      <x:c r="K31" s="8"/>
    </x:row>
    <x:row r="32">
      <x:c r="K32" s="8"/>
    </x:row>
    <x:row r="33">
      <x:c r="K33" s="8"/>
    </x:row>
    <x:row r="34">
      <x:c r="K34" s="8"/>
    </x:row>
    <x:row r="35">
      <x:c r="K35" s="8"/>
    </x:row>
    <x:row r="36">
      <x:c r="K36" s="8"/>
    </x:row>
    <x:row r="37">
      <x:c r="K37" s="8"/>
    </x:row>
    <x:row r="38">
      <x:c r="K38" s="8"/>
    </x:row>
    <x:row r="39">
      <x:c r="K39" s="8"/>
    </x:row>
    <x:row r="40">
      <x:c r="K40" s="8"/>
    </x:row>
    <x:row r="41">
      <x:c r="K41" s="8"/>
    </x:row>
    <x:row r="42">
      <x:c r="K42" s="8"/>
    </x:row>
    <x:row r="43">
      <x:c r="K43" s="8"/>
    </x:row>
    <x:row r="44">
      <x:c r="K44" s="8"/>
    </x:row>
    <x:row r="45">
      <x:c r="K45" s="8"/>
    </x:row>
    <x:row r="46">
      <x:c r="K46" s="8"/>
    </x:row>
    <x:row r="47">
      <x:c r="K47" s="8"/>
    </x:row>
    <x:row r="48">
      <x:c r="K48" s="8"/>
    </x:row>
    <x:row r="49">
      <x:c r="K49" s="8"/>
    </x:row>
    <x:row r="50">
      <x:c r="K50" s="8"/>
    </x:row>
    <x:row r="51">
      <x:c r="K51" s="8"/>
    </x:row>
    <x:row r="52">
      <x:c r="K52" s="8"/>
    </x:row>
    <x:row r="53">
      <x:c r="K53" s="8"/>
    </x:row>
    <x:row r="54">
      <x:c r="K54" s="8"/>
    </x:row>
    <x:row r="55">
      <x:c r="K55" s="8"/>
    </x:row>
    <x:row r="56">
      <x:c r="K56" s="8"/>
    </x:row>
    <x:row r="57">
      <x:c r="K57" s="8"/>
    </x:row>
    <x:row r="58">
      <x:c r="K58" s="8"/>
    </x:row>
    <x:row r="59">
      <x:c r="K59" s="8"/>
    </x:row>
    <x:row r="60">
      <x:c r="K60" s="8"/>
    </x:row>
    <x:row r="61">
      <x:c r="K61" s="8"/>
    </x:row>
    <x:row r="62">
      <x:c r="K62" s="8"/>
    </x:row>
    <x:row r="63">
      <x:c r="K63" s="8"/>
    </x:row>
    <x:row r="64">
      <x:c r="K64" s="8"/>
    </x:row>
    <x:row r="65">
      <x:c r="K65" s="8"/>
    </x:row>
    <x:row r="66">
      <x:c r="K66" s="8"/>
    </x:row>
    <x:row r="67">
      <x:c r="K67" s="8"/>
    </x:row>
    <x:row r="68">
      <x:c r="K68" s="8"/>
    </x:row>
    <x:row r="69">
      <x:c r="K69" s="8"/>
    </x:row>
    <x:row r="70">
      <x:c r="K70" s="8"/>
    </x:row>
    <x:row r="71">
      <x:c r="K71" s="8"/>
    </x:row>
    <x:row r="72">
      <x:c r="K72" s="8"/>
    </x:row>
    <x:row r="73">
      <x:c r="K73" s="8"/>
    </x:row>
    <x:row r="74">
      <x:c r="K74" s="8"/>
    </x:row>
    <x:row r="75">
      <x:c r="K75" s="8"/>
    </x:row>
    <x:row r="76">
      <x:c r="K76" s="8"/>
    </x:row>
    <x:row r="77">
      <x:c r="K77" s="8"/>
    </x:row>
    <x:row r="78">
      <x:c r="K78" s="8"/>
    </x:row>
    <x:row r="79">
      <x:c r="K79" s="8"/>
    </x:row>
    <x:row r="80">
      <x:c r="K80" s="8"/>
    </x:row>
    <x:row r="81">
      <x:c r="K81" s="8"/>
    </x:row>
    <x:row r="82">
      <x:c r="K82" s="8"/>
    </x:row>
    <x:row r="83">
      <x:c r="K83" s="8"/>
    </x:row>
    <x:row r="84">
      <x:c r="K84" s="8"/>
    </x:row>
    <x:row r="85">
      <x:c r="K85" s="8"/>
    </x:row>
    <x:row r="86">
      <x:c r="K86" s="8"/>
    </x:row>
    <x:row r="87">
      <x:c r="K87" s="8"/>
    </x:row>
    <x:row r="88">
      <x:c r="K88" s="8"/>
    </x:row>
    <x:row r="89">
      <x:c r="K89" s="8"/>
    </x:row>
    <x:row r="90">
      <x:c r="K90" s="8"/>
    </x:row>
    <x:row r="91">
      <x:c r="K91" s="8"/>
    </x:row>
    <x:row r="92">
      <x:c r="K92" s="8"/>
    </x:row>
    <x:row r="93">
      <x:c r="K93" s="8"/>
    </x:row>
    <x:row r="94">
      <x:c r="K94" s="8"/>
    </x:row>
    <x:row r="95">
      <x:c r="K95" s="8"/>
    </x:row>
    <x:row r="96">
      <x:c r="K96" s="8"/>
    </x:row>
    <x:row r="97">
      <x:c r="K97" s="8"/>
    </x:row>
    <x:row r="98">
      <x:c r="K98" s="8"/>
    </x:row>
    <x:row r="99">
      <x:c r="K99" s="8"/>
    </x:row>
    <x:row r="100">
      <x:c r="K100" s="8"/>
    </x:row>
  </x:sheetData>
  <x:dataValidations count="2">
    <x:dataValidation type="list" sqref="B2:B100">
      <x:formula1>"Low,Moderate,High,Critical,Frontier"</x:formula1>
    </x:dataValidation>
    <x:dataValidation type="list" sqref="D2:J100">
      <x:formula1>"Yes,Partial,No,N/A"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304663de7f4109"/>
  </x:tableParts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7" t="str">
        <x:v>Status</x:v>
      </x:c>
      <x:c r="B1" s="47" t="str">
        <x:v>YesPartialNo</x:v>
      </x:c>
      <x:c r="C1" s="47" t="str">
        <x:v>RiskTier</x:v>
      </x:c>
      <x:c r="D1" s="47" t="str">
        <x:v>Impact</x:v>
      </x:c>
      <x:c r="E1" s="47" t="str">
        <x:v>Likelihood</x:v>
      </x:c>
      <x:c r="F1" s="47"/>
      <x:c r="G1" s="47"/>
      <x:c r="H1" s="47"/>
      <x:c r="I1" s="47"/>
      <x:c r="J1" s="47"/>
      <x:c r="K1" s="47"/>
    </x:row>
    <x:row r="2">
      <x:c r="A2" t="str">
        <x:v>Operational</x:v>
      </x:c>
      <x:c r="B2" t="str">
        <x:v>Yes</x:v>
      </x:c>
      <x:c r="C2" t="str">
        <x:v>Low</x:v>
      </x:c>
      <x:c r="D2" t="str">
        <x:v>Low</x:v>
      </x:c>
      <x:c r="E2" t="str">
        <x:v>Low</x:v>
      </x:c>
    </x:row>
    <x:row r="3">
      <x:c r="A3" t="str">
        <x:v>In Progress</x:v>
      </x:c>
      <x:c r="B3" t="str">
        <x:v>Partial</x:v>
      </x:c>
      <x:c r="C3" t="str">
        <x:v>Moderate</x:v>
      </x:c>
      <x:c r="D3" t="str">
        <x:v>Moderate</x:v>
      </x:c>
      <x:c r="E3" t="str">
        <x:v>Medium</x:v>
      </x:c>
    </x:row>
    <x:row r="4">
      <x:c r="A4" t="str">
        <x:v>At Risk</x:v>
      </x:c>
      <x:c r="B4" t="str">
        <x:v>No</x:v>
      </x:c>
      <x:c r="C4" t="str">
        <x:v>High</x:v>
      </x:c>
      <x:c r="D4" t="str">
        <x:v>High</x:v>
      </x:c>
      <x:c r="E4" t="str">
        <x:v>High</x:v>
      </x:c>
    </x:row>
    <x:row r="5">
      <x:c r="A5" t="str">
        <x:v>Blocked</x:v>
      </x:c>
      <x:c r="C5" t="str">
        <x:v>Critical</x:v>
      </x:c>
      <x:c r="D5" t="str">
        <x:v>Critical</x:v>
      </x:c>
      <x:c r="E5" t="str">
        <x:v>Very High</x:v>
      </x:c>
    </x:row>
    <x:row r="6">
      <x:c r="C6" t="str">
        <x:v>Frontier</x:v>
      </x:c>
    </x:row>
  </x:sheetData>
  <x:pageMargins left="0.7" right="0.7" top="0.75" bottom="0.75" header="0.3" footer="0.3"/>
</x:worksheet>
</file>