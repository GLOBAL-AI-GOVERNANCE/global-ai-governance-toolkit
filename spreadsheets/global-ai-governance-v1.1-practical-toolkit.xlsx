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7d8968240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16483c9e3a5d414b"/>
    <x:sheet xmlns:r="http://schemas.openxmlformats.org/officeDocument/2006/relationships" name="Dashboard" sheetId="2" r:id="R299c7efd82e44cc3"/>
    <x:sheet xmlns:r="http://schemas.openxmlformats.org/officeDocument/2006/relationships" name="AI System Inventory" sheetId="3" r:id="R355a974083d54794"/>
    <x:sheet xmlns:r="http://schemas.openxmlformats.org/officeDocument/2006/relationships" name="Risk Tier Calculator" sheetId="4" r:id="Rb45f3ad361c24fb7"/>
    <x:sheet xmlns:r="http://schemas.openxmlformats.org/officeDocument/2006/relationships" name="Deployment Approval" sheetId="5" r:id="R57edf9d90e374585"/>
    <x:sheet xmlns:r="http://schemas.openxmlformats.org/officeDocument/2006/relationships" name="Vendor Review" sheetId="6" r:id="R599e149a81bd415c"/>
    <x:sheet xmlns:r="http://schemas.openxmlformats.org/officeDocument/2006/relationships" name="Agent Permissions" sheetId="7" r:id="R93a885c32297428c"/>
    <x:sheet xmlns:r="http://schemas.openxmlformats.org/officeDocument/2006/relationships" name="Incident Response" sheetId="8" r:id="Rce75771e52364e88"/>
    <x:sheet xmlns:r="http://schemas.openxmlformats.org/officeDocument/2006/relationships" name="Shutdown Decision Tree" sheetId="9" r:id="R011628427ab64cea"/>
    <x:sheet xmlns:r="http://schemas.openxmlformats.org/officeDocument/2006/relationships" name="Board Charter" sheetId="10" r:id="R76e0a8ea7296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EE2E2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11c8101be4fb1" /><Relationship Type="http://schemas.openxmlformats.org/officeDocument/2006/relationships/theme" Target="/xl/theme/theme1.xml" Id="R416c551ceed84fa6" /><Relationship Type="http://schemas.openxmlformats.org/officeDocument/2006/relationships/sharedStrings" Target="/xl/sharedStrings.xml" Id="R59890c00a336487b" /><Relationship Type="http://schemas.openxmlformats.org/officeDocument/2006/relationships/worksheet" Target="/xl/worksheets/sheet1.xml" Id="R16483c9e3a5d414b" /><Relationship Type="http://schemas.openxmlformats.org/officeDocument/2006/relationships/worksheet" Target="/xl/worksheets/sheet2.xml" Id="R299c7efd82e44cc3" /><Relationship Type="http://schemas.openxmlformats.org/officeDocument/2006/relationships/worksheet" Target="/xl/worksheets/sheet3.xml" Id="R355a974083d54794" /><Relationship Type="http://schemas.openxmlformats.org/officeDocument/2006/relationships/worksheet" Target="/xl/worksheets/sheet4.xml" Id="Rb45f3ad361c24fb7" /><Relationship Type="http://schemas.openxmlformats.org/officeDocument/2006/relationships/worksheet" Target="/xl/worksheets/sheet5.xml" Id="R57edf9d90e374585" /><Relationship Type="http://schemas.openxmlformats.org/officeDocument/2006/relationships/worksheet" Target="/xl/worksheets/sheet6.xml" Id="R599e149a81bd415c" /><Relationship Type="http://schemas.openxmlformats.org/officeDocument/2006/relationships/worksheet" Target="/xl/worksheets/sheet7.xml" Id="R93a885c32297428c" /><Relationship Type="http://schemas.openxmlformats.org/officeDocument/2006/relationships/worksheet" Target="/xl/worksheets/sheet8.xml" Id="Rce75771e52364e88" /><Relationship Type="http://schemas.openxmlformats.org/officeDocument/2006/relationships/worksheet" Target="/xl/worksheets/sheet9.xml" Id="R011628427ab64cea" /><Relationship Type="http://schemas.openxmlformats.org/officeDocument/2006/relationships/worksheet" Target="/xl/worksheets/sheet10.xml" Id="R76e0a8ea729641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d5aca4362a44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AI Systems by Risk Tier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'Dashboard'!$D$10:$D$14</c:f>
              <c:strCache>
                <c:ptCount val="0"/>
              </c:strCache>
            </c:strRef>
          </c:cat>
          <c:val>
            <c:numRef>
              <c:f>'Dashboard'!$E$10:$E$14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d5aca4362a44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SystemInventoryTable" displayName="AISystemInventoryTable" ref="A1:Q200" headerRowCount="1">
  <x:tableColumns count="17">
    <x:tableColumn id="1" name="System ID"/>
    <x:tableColumn id="2" name="System Name"/>
    <x:tableColumn id="3" name="Description"/>
    <x:tableColumn id="4" name="Owner"/>
    <x:tableColumn id="5" name="Vendor/Internal"/>
    <x:tableColumn id="6" name="Risk Tier"/>
    <x:tableColumn id="7" name="Status"/>
    <x:tableColumn id="8" name="Data Used"/>
    <x:tableColumn id="9" name="Impact Area"/>
    <x:tableColumn id="10" name="Human Owner"/>
    <x:tableColumn id="11" name="Technical Owner"/>
    <x:tableColumn id="12" name="Executive Owner"/>
    <x:tableColumn id="13" name="Monitoring Active"/>
    <x:tableColumn id="14" name="Shutdown Path Exists"/>
    <x:tableColumn id="15" name="Last Review Date"/>
    <x:tableColumn id="16" name="Next Review Date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iskTierCalculatorTable" displayName="RiskTierCalculatorTable" ref="A1:N200" headerRowCount="1">
  <x:tableColumns count="14">
    <x:tableColumn id="1" name="System ID"/>
    <x:tableColumn id="2" name="System Name"/>
    <x:tableColumn id="3" name="People/Rights Impact"/>
    <x:tableColumn id="4" name="Safety/Security Impact"/>
    <x:tableColumn id="5" name="Money/Ops Impact"/>
    <x:tableColumn id="6" name="Autonomy Level"/>
    <x:tableColumn id="7" name="Data Sensitivity"/>
    <x:tableColumn id="8" name="Public Impact"/>
    <x:tableColumn id="9" name="Cyber Exposure"/>
    <x:tableColumn id="10" name="Shutdown Difficulty"/>
    <x:tableColumn id="11" name="Total Score"/>
    <x:tableColumn id="12" name="Suggested Risk Tier"/>
    <x:tableColumn id="13" name="Approval Gate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eploymentApprovalTable" displayName="DeploymentApprovalTable" ref="A1:H200" headerRowCount="1">
  <x:tableColumns count="8">
    <x:tableColumn id="1" name="System ID"/>
    <x:tableColumn id="2" name="Gate"/>
    <x:tableColumn id="3" name="Control Item"/>
    <x:tableColumn id="4" name="Required For"/>
    <x:tableColumn id="5" name="Complete?"/>
    <x:tableColumn id="6" name="Evidence Link / Notes"/>
    <x:tableColumn id="7" name="Owner"/>
    <x:tableColumn id="8" name="Due Date"/>
  </x:tableColumns>
  <x:tableStyleInfo name="TableStyleMedium2" showRowStripes="1"/>
</x:table>
</file>

<file path=xl/tables/table4.xml><?xml version="1.0" encoding="utf-8"?>
<x:table xmlns:x="http://schemas.openxmlformats.org/spreadsheetml/2006/main" id="4" name="VendorReviewTable" displayName="VendorReviewTable" ref="A1:O200" headerRowCount="1">
  <x:tableColumns count="15">
    <x:tableColumn id="1" name="Vendor"/>
    <x:tableColumn id="2" name="Product"/>
    <x:tableColumn id="3" name="Data Protection"/>
    <x:tableColumn id="4" name="Security Controls"/>
    <x:tableColumn id="5" name="Privacy Controls"/>
    <x:tableColumn id="6" name="Auditability"/>
    <x:tableColumn id="7" name="Model Update Transparency"/>
    <x:tableColumn id="8" name="Incident Notification"/>
    <x:tableColumn id="9" name="Subprocessor Transparency"/>
    <x:tableColumn id="10" name="Termination Rights"/>
    <x:tableColumn id="11" name="Liability/Accountability"/>
    <x:tableColumn id="12" name="Shutdown Support"/>
    <x:tableColumn id="13" name="Total Score"/>
    <x:tableColumn id="14" name="Decision Band"/>
    <x:tableColumn id="1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gentPermissionsTable" displayName="AgentPermissionsTable" ref="A1:I200" headerRowCount="1">
  <x:tableColumns count="9">
    <x:tableColumn id="1" name="Agent Name"/>
    <x:tableColumn id="2" name="Permission Type"/>
    <x:tableColumn id="3" name="Default Position"/>
    <x:tableColumn id="4" name="Requested Access"/>
    <x:tableColumn id="5" name="Approval Required?"/>
    <x:tableColumn id="6" name="Approver"/>
    <x:tableColumn id="7" name="Control Required"/>
    <x:tableColumn id="8" name="Decision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IncidentResponseTable" displayName="IncidentResponseTable" ref="A1:M200" headerRowCount="1">
  <x:tableColumns count="13">
    <x:tableColumn id="1" name="Incident ID"/>
    <x:tableColumn id="2" name="Date"/>
    <x:tableColumn id="3" name="System ID"/>
    <x:tableColumn id="4" name="Incident Type"/>
    <x:tableColumn id="5" name="Severity"/>
    <x:tableColumn id="6" name="Contained?"/>
    <x:tableColumn id="7" name="Owner"/>
    <x:tableColumn id="8" name="Impact Summary"/>
    <x:tableColumn id="9" name="Immediate Action"/>
    <x:tableColumn id="10" name="Root Cause"/>
    <x:tableColumn id="11" name="Corrective Action"/>
    <x:tableColumn id="12" name="Restart Conditions"/>
    <x:tableColumn id="13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ShutdownDecisionTreeTable" displayName="ShutdownDecisionTreeTable" ref="A1:H200" headerRowCount="1">
  <x:tableColumns count="8">
    <x:tableColumn id="1" name="System ID"/>
    <x:tableColumn id="2" name="Trigger Present?"/>
    <x:tableColumn id="3" name="Can Contain Immediately?"/>
    <x:tableColumn id="4" name="Root Cause Known?"/>
    <x:tableColumn id="5" name="Controls Can Prevent Recurrence?"/>
    <x:tableColumn id="6" name="Evidence Updated?"/>
    <x:tableColumn id="7" name="Recommended Decision"/>
    <x:tableColumn id="8" name="Owne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a16dec653074c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80e095570ac4a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2c84e7fdce4b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4f2017405c40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cdefe0e93ee42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4bcc8c8ccdc48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e2f518ce20e4c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f6b5b88dc41498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Risk Tiers</x:v>
      </x:c>
      <x:c r="B1" s="6" t="str">
        <x:v>Status</x:v>
      </x:c>
      <x:c r="C1" s="6" t="str">
        <x:v>Yes No</x:v>
      </x:c>
      <x:c r="D1" s="6" t="str">
        <x:v>Decision</x:v>
      </x:c>
      <x:c r="E1" s="6" t="str">
        <x:v>Score</x:v>
      </x:c>
    </x:row>
    <x:row r="2">
      <x:c r="A2" t="str">
        <x:v>Low</x:v>
      </x:c>
      <x:c r="B2" t="str">
        <x:v>Not Started</x:v>
      </x:c>
      <x:c r="C2" t="str">
        <x:v>Yes</x:v>
      </x:c>
      <x:c r="D2" t="str">
        <x:v>Approved</x:v>
      </x:c>
      <x:c r="E2" t="n">
        <x:v>0</x:v>
      </x:c>
    </x:row>
    <x:row r="3">
      <x:c r="A3" t="str">
        <x:v>Moderate</x:v>
      </x:c>
      <x:c r="B3" t="str">
        <x:v>Inventory</x:v>
      </x:c>
      <x:c r="C3" t="str">
        <x:v>No</x:v>
      </x:c>
      <x:c r="D3" t="str">
        <x:v>Approved with restrictions</x:v>
      </x:c>
      <x:c r="E3" t="n">
        <x:v>1</x:v>
      </x:c>
    </x:row>
    <x:row r="4">
      <x:c r="A4" t="str">
        <x:v>High</x:v>
      </x:c>
      <x:c r="B4" t="str">
        <x:v>Pilot</x:v>
      </x:c>
      <x:c r="D4" t="str">
        <x:v>Pilot only</x:v>
      </x:c>
      <x:c r="E4" t="n">
        <x:v>2</x:v>
      </x:c>
    </x:row>
    <x:row r="5">
      <x:c r="A5" t="str">
        <x:v>Critical</x:v>
      </x:c>
      <x:c r="B5" t="str">
        <x:v>Active</x:v>
      </x:c>
      <x:c r="D5" t="str">
        <x:v>More evidence required</x:v>
      </x:c>
      <x:c r="E5" t="n">
        <x:v>3</x:v>
      </x:c>
    </x:row>
    <x:row r="6">
      <x:c r="A6" t="str">
        <x:v>Frontier</x:v>
      </x:c>
      <x:c r="B6" t="str">
        <x:v>Restricted</x:v>
      </x:c>
      <x:c r="D6" t="str">
        <x:v>Rejected</x:v>
      </x:c>
      <x:c r="E6" t="n">
        <x:v>4</x:v>
      </x:c>
    </x:row>
    <x:row r="7">
      <x:c r="B7" t="str">
        <x:v>Paused</x:v>
      </x:c>
      <x:c r="D7" t="str">
        <x:v>Shutdown</x:v>
      </x:c>
    </x:row>
    <x:row r="8">
      <x:c r="B8" t="str">
        <x:v>Retired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5" t="str">
        <x:v>Global AI Governance Solutions v1.1 Practical Toolkit</x:v>
      </x:c>
    </x:row>
    <x:row r="3">
      <x:c r="A3" s="6" t="str">
        <x:v>Metric</x:v>
      </x:c>
      <x:c r="B3" s="6" t="str">
        <x:v>Value</x:v>
      </x:c>
      <x:c r="D3" s="6" t="str">
        <x:v>Operating Law</x:v>
      </x:c>
      <x:c r="E3" t="str"/>
      <x:c r="F3" t="str"/>
      <x:c r="G3" t="str"/>
      <x:c r="H3" t="str"/>
    </x:row>
    <x:row r="4">
      <x:c r="A4" s="20" t="str">
        <x:v>Total AI Systems</x:v>
      </x:c>
      <x:c r="B4" s="20" t="n">
        <x:f>COUNTA('AI System Inventory'!A2:A200)</x:f>
        <x:v>4</x:v>
      </x:c>
      <x:c r="D4" s="20" t="str">
        <x:v>No AI system moves faster than ownership, evidence, authority, and control.</x:v>
      </x:c>
      <x:c r="E4" s="20" t="str"/>
      <x:c r="F4" s="20" t="str"/>
      <x:c r="G4" s="20" t="str"/>
      <x:c r="H4" s="20" t="str"/>
    </x:row>
    <x:row r="5">
      <x:c r="A5" s="20" t="str">
        <x:v>Low Risk</x:v>
      </x:c>
      <x:c r="B5" s="20" t="n">
        <x:f>COUNTIF('AI System Inventory'!F2:F200,"Low")</x:f>
        <x:v>1</x:v>
      </x:c>
      <x:c r="D5" s="20" t="str"/>
      <x:c r="E5" s="20" t="str"/>
      <x:c r="F5" s="20" t="str"/>
      <x:c r="G5" s="20" t="str"/>
      <x:c r="H5" s="20" t="str"/>
    </x:row>
    <x:row r="6">
      <x:c r="A6" s="20" t="str">
        <x:v>Moderate Risk</x:v>
      </x:c>
      <x:c r="B6" s="20" t="n">
        <x:f>COUNTIF('AI System Inventory'!F2:F200,"Moderate")</x:f>
        <x:v>1</x:v>
      </x:c>
      <x:c r="D6" s="20" t="str">
        <x:v>Root command: See it. Own it. Classify it. Test it. Govern it. Monitor it. Correct it. Shut it down if necessary.</x:v>
      </x:c>
      <x:c r="E6" s="20" t="str"/>
      <x:c r="F6" s="20" t="str"/>
      <x:c r="G6" s="20" t="str"/>
      <x:c r="H6" s="20" t="str"/>
    </x:row>
    <x:row r="7">
      <x:c r="A7" s="20" t="str">
        <x:v>High Risk</x:v>
      </x:c>
      <x:c r="B7" s="20" t="n">
        <x:f>COUNTIF('AI System Inventory'!F2:F200,"High")</x:f>
        <x:v>1</x:v>
      </x:c>
    </x:row>
    <x:row r="8">
      <x:c r="A8" s="20" t="str">
        <x:v>Critical Risk</x:v>
      </x:c>
      <x:c r="B8" s="20" t="n">
        <x:f>COUNTIF('AI System Inventory'!F2:F200,"Critical")</x:f>
        <x:v>0</x:v>
      </x:c>
    </x:row>
    <x:row r="9">
      <x:c r="A9" s="20" t="str">
        <x:v>Frontier Risk</x:v>
      </x:c>
      <x:c r="B9" s="20" t="n">
        <x:f>COUNTIF('AI System Inventory'!F2:F200,"Frontier")</x:f>
        <x:v>1</x:v>
      </x:c>
      <x:c r="D9" s="6" t="str">
        <x:v>Risk Tier</x:v>
      </x:c>
      <x:c r="E9" s="6" t="str">
        <x:v>Count</x:v>
      </x:c>
    </x:row>
    <x:row r="10">
      <x:c r="A10" s="20" t="str">
        <x:v>Systems Without Owner</x:v>
      </x:c>
      <x:c r="B10" s="20" t="n">
        <x:f>COUNTIFS('AI System Inventory'!A2:A200,"&lt;&gt;",'AI System Inventory'!D2:D200,"")</x:f>
        <x:v>0</x:v>
      </x:c>
      <x:c r="D10" t="str">
        <x:v>Low</x:v>
      </x:c>
      <x:c r="E10" t="n">
        <x:f>B5</x:f>
        <x:v>1</x:v>
      </x:c>
    </x:row>
    <x:row r="11">
      <x:c r="A11" s="20" t="str">
        <x:v>Systems Without Shutdown Path</x:v>
      </x:c>
      <x:c r="B11" s="20" t="n">
        <x:f>COUNTIF('AI System Inventory'!N2:N200,"No")</x:f>
        <x:v>1</x:v>
      </x:c>
      <x:c r="D11" t="str">
        <x:v>Moderate</x:v>
      </x:c>
      <x:c r="E11" t="n">
        <x:f>B6</x:f>
        <x:v>1</x:v>
      </x:c>
    </x:row>
    <x:row r="12">
      <x:c r="A12" s="20" t="str">
        <x:v>Systems Without Monitoring</x:v>
      </x:c>
      <x:c r="B12" s="20" t="n">
        <x:f>COUNTIF('AI System Inventory'!M2:M200,"No")</x:f>
        <x:v>1</x:v>
      </x:c>
      <x:c r="D12" t="str">
        <x:v>High</x:v>
      </x:c>
      <x:c r="E12" t="n">
        <x:f>B7</x:f>
        <x:v>1</x:v>
      </x:c>
    </x:row>
    <x:row r="13">
      <x:c r="D13" t="str">
        <x:v>Critical</x:v>
      </x:c>
      <x:c r="E13" t="n">
        <x:f>B8</x:f>
        <x:v>0</x:v>
      </x:c>
    </x:row>
    <x:row r="14">
      <x:c r="D14" t="str">
        <x:v>Frontier</x:v>
      </x:c>
      <x:c r="E14" t="n">
        <x:f>B9</x:f>
        <x:v>1</x:v>
      </x:c>
    </x:row>
  </x:sheetData>
  <x:mergeCells>
    <x:mergeCell ref="A1:H1"/>
    <x:mergeCell ref="D3:H3"/>
    <x:mergeCell ref="D4:H4"/>
    <x:mergeCell ref="D6:H6"/>
  </x:mergeCells>
  <x:pageMargins left="0.7" right="0.7" top="0.75" bottom="0.75" header="0.3" footer="0.3"/>
  <x:drawing xmlns:r="http://schemas.openxmlformats.org/officeDocument/2006/relationships" r:id="Rca16dec653074cce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5" hidden="0" customWidth="1"/>
    <x:col min="4" max="4" width="18" hidden="0" customWidth="1"/>
    <x:col min="5" max="5" width="16" hidden="0" customWidth="1"/>
    <x:col min="6" max="6" width="14" hidden="0" customWidth="1"/>
    <x:col min="7" max="7" width="16" hidden="0" customWidth="1"/>
    <x:col min="8" max="8" width="24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5" hidden="0" customWidth="1"/>
  </x:cols>
  <x:sheetData>
    <x:row r="1" ht="30" customHeight="1">
      <x:c r="A1" s="6" t="str">
        <x:v>System ID</x:v>
      </x:c>
      <x:c r="B1" s="6" t="str">
        <x:v>System Name</x:v>
      </x:c>
      <x:c r="C1" s="6" t="str">
        <x:v>Description</x:v>
      </x:c>
      <x:c r="D1" s="6" t="str">
        <x:v>Owner</x:v>
      </x:c>
      <x:c r="E1" s="6" t="str">
        <x:v>Vendor/Internal</x:v>
      </x:c>
      <x:c r="F1" s="6" t="str">
        <x:v>Risk Tier</x:v>
      </x:c>
      <x:c r="G1" s="6" t="str">
        <x:v>Status</x:v>
      </x:c>
      <x:c r="H1" s="6" t="str">
        <x:v>Data Used</x:v>
      </x:c>
      <x:c r="I1" s="6" t="str">
        <x:v>Impact Area</x:v>
      </x:c>
      <x:c r="J1" s="6" t="str">
        <x:v>Human Owner</x:v>
      </x:c>
      <x:c r="K1" s="6" t="str">
        <x:v>Technical Owner</x:v>
      </x:c>
      <x:c r="L1" s="6" t="str">
        <x:v>Executive Owner</x:v>
      </x:c>
      <x:c r="M1" s="6" t="str">
        <x:v>Monitoring Active</x:v>
      </x:c>
      <x:c r="N1" s="6" t="str">
        <x:v>Shutdown Path Exists</x:v>
      </x:c>
      <x:c r="O1" s="6" t="str">
        <x:v>Last Review Date</x:v>
      </x:c>
      <x:c r="P1" s="6" t="str">
        <x:v>Next Review Date</x:v>
      </x:c>
      <x:c r="Q1" s="6" t="str">
        <x:v>Notes</x:v>
      </x:c>
    </x:row>
    <x:row r="2">
      <x:c r="A2" t="str">
        <x:v>AI-001</x:v>
      </x:c>
      <x:c r="B2" t="str">
        <x:v>Internal FAQ Chatbot</x:v>
      </x:c>
      <x:c r="C2" t="str">
        <x:v>Answers employee policy questions</x:v>
      </x:c>
      <x:c r="D2" t="str">
        <x:v>HR Ops</x:v>
      </x:c>
      <x:c r="E2" t="str">
        <x:v>Internal</x:v>
      </x:c>
      <x:c r="F2" t="str">
        <x:v>Low</x:v>
      </x:c>
      <x:c r="G2" t="str">
        <x:v>Pilot</x:v>
      </x:c>
      <x:c r="H2" t="str">
        <x:v>Approved policy docs</x:v>
      </x:c>
      <x:c r="I2" t="str">
        <x:v>Operations</x:v>
      </x:c>
      <x:c r="J2" t="str">
        <x:v>HR Ops Lead</x:v>
      </x:c>
      <x:c r="K2" t="str">
        <x:v>IT Apps Lead</x:v>
      </x:c>
      <x:c r="L2" t="str"/>
      <x:c r="M2" t="str">
        <x:v>Yes</x:v>
      </x:c>
      <x:c r="N2" t="str">
        <x:v>Yes</x:v>
      </x:c>
      <x:c r="O2" t="str">
        <x:v>2026-06-01</x:v>
      </x:c>
      <x:c r="P2" t="str">
        <x:v>2026-12-01</x:v>
      </x:c>
      <x:c r="Q2" t="str">
        <x:v>Sample low-risk system</x:v>
      </x:c>
    </x:row>
    <x:row r="3">
      <x:c r="A3" t="str">
        <x:v>AI-002</x:v>
      </x:c>
      <x:c r="B3" t="str">
        <x:v>Customer Support Assistant</x:v>
      </x:c>
      <x:c r="C3" t="str">
        <x:v>Drafts support replies for human review</x:v>
      </x:c>
      <x:c r="D3" t="str">
        <x:v>CX Lead</x:v>
      </x:c>
      <x:c r="E3" t="str">
        <x:v>Vendor</x:v>
      </x:c>
      <x:c r="F3" t="str">
        <x:v>Moderate</x:v>
      </x:c>
      <x:c r="G3" t="str">
        <x:v>Active</x:v>
      </x:c>
      <x:c r="H3" t="str">
        <x:v>Support knowledge base</x:v>
      </x:c>
      <x:c r="I3" t="str">
        <x:v>Operations</x:v>
      </x:c>
      <x:c r="J3" t="str">
        <x:v>CX Lead</x:v>
      </x:c>
      <x:c r="K3" t="str">
        <x:v>IT Apps Lead</x:v>
      </x:c>
      <x:c r="L3" t="str"/>
      <x:c r="M3" t="str">
        <x:v>Yes</x:v>
      </x:c>
      <x:c r="N3" t="str">
        <x:v>Yes</x:v>
      </x:c>
      <x:c r="O3" t="str">
        <x:v>2026-06-01</x:v>
      </x:c>
      <x:c r="P3" t="str">
        <x:v>2026-12-01</x:v>
      </x:c>
      <x:c r="Q3" t="str">
        <x:v>Human sends final response</x:v>
      </x:c>
    </x:row>
    <x:row r="4">
      <x:c r="A4" t="str">
        <x:v>AI-003</x:v>
      </x:c>
      <x:c r="B4" t="str">
        <x:v>Eligibility Screening Assistant</x:v>
      </x:c>
      <x:c r="C4" t="str">
        <x:v>Triage support for program eligibility</x:v>
      </x:c>
      <x:c r="D4" t="str">
        <x:v>Program Owner</x:v>
      </x:c>
      <x:c r="E4" t="str">
        <x:v>Vendor</x:v>
      </x:c>
      <x:c r="F4" t="str">
        <x:v>High</x:v>
      </x:c>
      <x:c r="G4" t="str">
        <x:v>Restricted</x:v>
      </x:c>
      <x:c r="H4" t="str">
        <x:v>Application data</x:v>
      </x:c>
      <x:c r="I4" t="str">
        <x:v>People / Money / Rights</x:v>
      </x:c>
      <x:c r="J4" t="str">
        <x:v>Program Owner</x:v>
      </x:c>
      <x:c r="K4" t="str">
        <x:v>Data Platform Lead</x:v>
      </x:c>
      <x:c r="L4" t="str">
        <x:v>COO</x:v>
      </x:c>
      <x:c r="M4" t="str">
        <x:v>Yes</x:v>
      </x:c>
      <x:c r="N4" t="str">
        <x:v>Yes</x:v>
      </x:c>
      <x:c r="O4" t="str">
        <x:v>2026-06-01</x:v>
      </x:c>
      <x:c r="P4" t="str">
        <x:v>2026-09-01</x:v>
      </x:c>
      <x:c r="Q4" t="str">
        <x:v>Final decisions remain human</x:v>
      </x:c>
    </x:row>
    <x:row r="5">
      <x:c r="A5" t="str">
        <x:v>AI-004</x:v>
      </x:c>
      <x:c r="B5" t="str">
        <x:v>Frontier Workflow Agent</x:v>
      </x:c>
      <x:c r="C5" t="str">
        <x:v>Broad enterprise automation with tools</x:v>
      </x:c>
      <x:c r="D5" t="str">
        <x:v>CTO</x:v>
      </x:c>
      <x:c r="E5" t="str">
        <x:v>Vendor</x:v>
      </x:c>
      <x:c r="F5" t="str">
        <x:v>Frontier</x:v>
      </x:c>
      <x:c r="G5" t="str">
        <x:v>Not Approved</x:v>
      </x:c>
      <x:c r="H5" t="str">
        <x:v>Sensitive workflows</x:v>
      </x:c>
      <x:c r="I5" t="str">
        <x:v>Security / Operations</x:v>
      </x:c>
      <x:c r="J5" t="str">
        <x:v>CTO</x:v>
      </x:c>
      <x:c r="K5" t="str">
        <x:v>AI Platform Lead</x:v>
      </x:c>
      <x:c r="L5" t="str">
        <x:v>CEO</x:v>
      </x:c>
      <x:c r="M5" t="str">
        <x:v>No</x:v>
      </x:c>
      <x:c r="N5" t="str">
        <x:v>No</x:v>
      </x:c>
      <x:c r="O5" t="str">
        <x:v>2026-06-01</x:v>
      </x:c>
      <x:c r="P5" t="str">
        <x:v>2026-07-01</x:v>
      </x:c>
      <x:c r="Q5" t="str">
        <x:v>Requires board-level review</x:v>
      </x:c>
    </x:row>
  </x:sheetData>
  <x:conditionalFormatting sqref="F2:F200">
    <x:cfRule type="expression" dxfId="2" priority="1">
      <x:formula>F2="Frontier"</x:formula>
    </x:cfRule>
    <x:cfRule type="expression" dxfId="3" priority="2">
      <x:formula>F2="Critical"</x:formula>
    </x:cfRule>
  </x:conditionalFormatting>
  <x:dataValidations count="3">
    <x:dataValidation type="list" sqref="F2:F200">
      <x:formula1>Lists!$A$2:$A$6</x:formula1>
    </x:dataValidation>
    <x:dataValidation type="list" sqref="G2:G200">
      <x:formula1>Lists!$B$2:$B$8</x:formula1>
    </x:dataValidation>
    <x:dataValidation type="list" sqref="M2:N200">
      <x:formula1>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0e095570ac4a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22" hidden="0" customWidth="1"/>
    <x:col min="13" max="13" width="22" hidden="0" customWidth="1"/>
    <x:col min="14" max="14" width="35" hidden="0" customWidth="1"/>
  </x:cols>
  <x:sheetData>
    <x:row r="1" ht="30" customHeight="1">
      <x:c r="A1" s="6" t="str">
        <x:v>System ID</x:v>
      </x:c>
      <x:c r="B1" s="6" t="str">
        <x:v>System Name</x:v>
      </x:c>
      <x:c r="C1" s="6" t="str">
        <x:v>People/Rights Impact</x:v>
      </x:c>
      <x:c r="D1" s="6" t="str">
        <x:v>Safety/Security Impact</x:v>
      </x:c>
      <x:c r="E1" s="6" t="str">
        <x:v>Money/Ops Impact</x:v>
      </x:c>
      <x:c r="F1" s="6" t="str">
        <x:v>Autonomy Level</x:v>
      </x:c>
      <x:c r="G1" s="6" t="str">
        <x:v>Data Sensitivity</x:v>
      </x:c>
      <x:c r="H1" s="6" t="str">
        <x:v>Public Impact</x:v>
      </x:c>
      <x:c r="I1" s="6" t="str">
        <x:v>Cyber Exposure</x:v>
      </x:c>
      <x:c r="J1" s="6" t="str">
        <x:v>Shutdown Difficulty</x:v>
      </x:c>
      <x:c r="K1" s="6" t="str">
        <x:v>Total Score</x:v>
      </x:c>
      <x:c r="L1" s="6" t="str">
        <x:v>Suggested Risk Tier</x:v>
      </x:c>
      <x:c r="M1" s="6" t="str">
        <x:v>Approval Gate</x:v>
      </x:c>
      <x:c r="N1" s="6" t="str">
        <x:v>Notes</x:v>
      </x:c>
    </x:row>
    <x:row r="2">
      <x:c r="A2" t="str">
        <x:v>AI-001</x:v>
      </x:c>
      <x:c r="B2" t="str">
        <x:v>Internal FAQ Chatbot</x:v>
      </x:c>
      <x:c r="C2" t="n">
        <x:v>0</x:v>
      </x:c>
      <x:c r="D2" t="n">
        <x:v>0</x:v>
      </x:c>
      <x:c r="E2" t="n">
        <x:v>1</x:v>
      </x:c>
      <x:c r="F2" t="n">
        <x:v>1</x:v>
      </x:c>
      <x:c r="G2" t="n">
        <x:v>0</x:v>
      </x:c>
      <x:c r="H2" t="n">
        <x:v>0</x:v>
      </x:c>
      <x:c r="I2" t="n">
        <x:v>1</x:v>
      </x:c>
      <x:c r="J2" t="n">
        <x:v>1</x:v>
      </x:c>
      <x:c r="K2" t="n">
        <x:f>SUM(C2:J2)</x:f>
        <x:v>4</x:v>
      </x:c>
      <x:c r="L2" t="str">
        <x:f>IF(K2&gt;=25,"Frontier",IF(K2&gt;=19,"Critical",IF(K2&gt;=13,"High",IF(K2&gt;=7,"Moderate","Low"))))</x:f>
        <x:v>Low</x:v>
      </x:c>
      <x:c r="M2" t="str">
        <x:f>IF(L2="Frontier","Board-Level Review",IF(L2="Critical","Executive Governance Board",IF(L2="High","Executive Owner",IF(L2="Moderate","Business Owner","Team Owner"))))</x:f>
        <x:v>Team Owner</x:v>
      </x:c>
      <x:c r="N2" t="str">
        <x:v>Sample low-risk system</x:v>
      </x:c>
    </x:row>
    <x:row r="3">
      <x:c r="A3" t="str">
        <x:v>AI-002</x:v>
      </x:c>
      <x:c r="B3" t="str">
        <x:v>Customer Support Assistant</x:v>
      </x:c>
      <x:c r="C3" t="n">
        <x:v>1</x:v>
      </x:c>
      <x:c r="D3" t="n">
        <x:v>0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1</x:v>
      </x:c>
      <x:c r="J3" t="n">
        <x:v>1</x:v>
      </x:c>
      <x:c r="K3" t="n">
        <x:f>SUM(C2:J2)</x:f>
        <x:v>4</x:v>
      </x:c>
      <x:c r="L3" t="str">
        <x:f>IF(K2&gt;=25,"Frontier",IF(K2&gt;=19,"Critical",IF(K2&gt;=13,"High",IF(K2&gt;=7,"Moderate","Low"))))</x:f>
        <x:v>Low</x:v>
      </x:c>
      <x:c r="M3" t="str">
        <x:f>IF(L2="Frontier","Board-Level Review",IF(L2="Critical","Executive Governance Board",IF(L2="High","Executive Owner",IF(L2="Moderate","Business Owner","Team Owner"))))</x:f>
        <x:v>Team Owner</x:v>
      </x:c>
      <x:c r="N3" t="str">
        <x:v>Human sends final response</x:v>
      </x:c>
    </x:row>
    <x:row r="4">
      <x:c r="A4" t="str">
        <x:v>AI-003</x:v>
      </x:c>
      <x:c r="B4" t="str">
        <x:v>Eligibility Screening Assistant</x:v>
      </x:c>
      <x:c r="C4" t="n">
        <x:v>4</x:v>
      </x:c>
      <x:c r="D4" t="n">
        <x:v>1</x:v>
      </x:c>
      <x:c r="E4" t="n">
        <x:v>3</x:v>
      </x:c>
      <x:c r="F4" t="n">
        <x:v>2</x:v>
      </x:c>
      <x:c r="G4" t="n">
        <x:v>3</x:v>
      </x:c>
      <x:c r="H4" t="n">
        <x:v>3</x:v>
      </x:c>
      <x:c r="I4" t="n">
        <x:v>2</x:v>
      </x:c>
      <x:c r="J4" t="n">
        <x:v>2</x:v>
      </x:c>
      <x:c r="K4" t="n">
        <x:f>SUM(C2:J2)</x:f>
        <x:v>4</x:v>
      </x:c>
      <x:c r="L4" t="str">
        <x:f>IF(K2&gt;=25,"Frontier",IF(K2&gt;=19,"Critical",IF(K2&gt;=13,"High",IF(K2&gt;=7,"Moderate","Low"))))</x:f>
        <x:v>Low</x:v>
      </x:c>
      <x:c r="M4" t="str">
        <x:f>IF(L2="Frontier","Board-Level Review",IF(L2="Critical","Executive Governance Board",IF(L2="High","Executive Owner",IF(L2="Moderate","Business Owner","Team Owner"))))</x:f>
        <x:v>Team Owner</x:v>
      </x:c>
      <x:c r="N4" t="str">
        <x:v>Human authority required</x:v>
      </x:c>
    </x:row>
    <x:row r="5">
      <x:c r="A5" t="str">
        <x:v>AI-004</x:v>
      </x:c>
      <x:c r="B5" t="str">
        <x:v>Frontier Workflow Agent</x:v>
      </x:c>
      <x:c r="C5" t="n">
        <x:v>3</x:v>
      </x:c>
      <x:c r="D5" t="n">
        <x:v>3</x:v>
      </x:c>
      <x:c r="E5" t="n">
        <x:v>3</x:v>
      </x:c>
      <x:c r="F5" t="n">
        <x:v>4</x:v>
      </x:c>
      <x:c r="G5" t="n">
        <x:v>4</x:v>
      </x:c>
      <x:c r="H5" t="n">
        <x:v>3</x:v>
      </x:c>
      <x:c r="I5" t="n">
        <x:v>4</x:v>
      </x:c>
      <x:c r="J5" t="n">
        <x:v>4</x:v>
      </x:c>
      <x:c r="K5" t="n">
        <x:f>SUM(C2:J2)</x:f>
        <x:v>4</x:v>
      </x:c>
      <x:c r="L5" t="str">
        <x:f>IF(K2&gt;=25,"Frontier",IF(K2&gt;=19,"Critical",IF(K2&gt;=13,"High",IF(K2&gt;=7,"Moderate","Low"))))</x:f>
        <x:v>Low</x:v>
      </x:c>
      <x:c r="M5" t="str">
        <x:f>IF(L2="Frontier","Board-Level Review",IF(L2="Critical","Executive Governance Board",IF(L2="High","Executive Owner",IF(L2="Moderate","Business Owner","Team Owner"))))</x:f>
        <x:v>Team Owner</x:v>
      </x:c>
      <x:c r="N5" t="str">
        <x:v>Board-level review required</x:v>
      </x:c>
    </x:row>
    <x:row r="6">
      <x:c r="K6" t="n">
        <x:f>SUM(C2:J2)</x:f>
        <x:v>4</x:v>
      </x:c>
      <x:c r="L6" t="str">
        <x:f>IF(K2&gt;=25,"Frontier",IF(K2&gt;=19,"Critical",IF(K2&gt;=13,"High",IF(K2&gt;=7,"Moderate","Low"))))</x:f>
        <x:v>Low</x:v>
      </x:c>
      <x:c r="M6" t="str">
        <x:f>IF(L2="Frontier","Board-Level Review",IF(L2="Critical","Executive Governance Board",IF(L2="High","Executive Owner",IF(L2="Moderate","Business Owner","Team Owner"))))</x:f>
        <x:v>Team Owner</x:v>
      </x:c>
    </x:row>
    <x:row r="7">
      <x:c r="K7" t="n">
        <x:f>SUM(C2:J2)</x:f>
        <x:v>4</x:v>
      </x:c>
      <x:c r="L7" t="str">
        <x:f>IF(K2&gt;=25,"Frontier",IF(K2&gt;=19,"Critical",IF(K2&gt;=13,"High",IF(K2&gt;=7,"Moderate","Low"))))</x:f>
        <x:v>Low</x:v>
      </x:c>
      <x:c r="M7" t="str">
        <x:f>IF(L2="Frontier","Board-Level Review",IF(L2="Critical","Executive Governance Board",IF(L2="High","Executive Owner",IF(L2="Moderate","Business Owner","Team Owner"))))</x:f>
        <x:v>Team Owner</x:v>
      </x:c>
    </x:row>
    <x:row r="8">
      <x:c r="K8" t="n">
        <x:f>SUM(C2:J2)</x:f>
        <x:v>4</x:v>
      </x:c>
      <x:c r="L8" t="str">
        <x:f>IF(K2&gt;=25,"Frontier",IF(K2&gt;=19,"Critical",IF(K2&gt;=13,"High",IF(K2&gt;=7,"Moderate","Low"))))</x:f>
        <x:v>Low</x:v>
      </x:c>
      <x:c r="M8" t="str">
        <x:f>IF(L2="Frontier","Board-Level Review",IF(L2="Critical","Executive Governance Board",IF(L2="High","Executive Owner",IF(L2="Moderate","Business Owner","Team Owner"))))</x:f>
        <x:v>Team Owner</x:v>
      </x:c>
    </x:row>
    <x:row r="9">
      <x:c r="K9" t="n">
        <x:f>SUM(C2:J2)</x:f>
        <x:v>4</x:v>
      </x:c>
      <x:c r="L9" t="str">
        <x:f>IF(K2&gt;=25,"Frontier",IF(K2&gt;=19,"Critical",IF(K2&gt;=13,"High",IF(K2&gt;=7,"Moderate","Low"))))</x:f>
        <x:v>Low</x:v>
      </x:c>
      <x:c r="M9" t="str">
        <x:f>IF(L2="Frontier","Board-Level Review",IF(L2="Critical","Executive Governance Board",IF(L2="High","Executive Owner",IF(L2="Moderate","Business Owner","Team Owner"))))</x:f>
        <x:v>Team Owner</x:v>
      </x:c>
    </x:row>
    <x:row r="10">
      <x:c r="K10" t="n">
        <x:f>SUM(C2:J2)</x:f>
        <x:v>4</x:v>
      </x:c>
      <x:c r="L10" t="str">
        <x:f>IF(K2&gt;=25,"Frontier",IF(K2&gt;=19,"Critical",IF(K2&gt;=13,"High",IF(K2&gt;=7,"Moderate","Low"))))</x:f>
        <x:v>Low</x:v>
      </x:c>
      <x:c r="M10" t="str">
        <x:f>IF(L2="Frontier","Board-Level Review",IF(L2="Critical","Executive Governance Board",IF(L2="High","Executive Owner",IF(L2="Moderate","Business Owner","Team Owner"))))</x:f>
        <x:v>Team Owner</x:v>
      </x:c>
    </x:row>
    <x:row r="11">
      <x:c r="K11" t="n">
        <x:f>SUM(C2:J2)</x:f>
        <x:v>4</x:v>
      </x:c>
      <x:c r="L11" t="str">
        <x:f>IF(K2&gt;=25,"Frontier",IF(K2&gt;=19,"Critical",IF(K2&gt;=13,"High",IF(K2&gt;=7,"Moderate","Low"))))</x:f>
        <x:v>Low</x:v>
      </x:c>
      <x:c r="M11" t="str">
        <x:f>IF(L2="Frontier","Board-Level Review",IF(L2="Critical","Executive Governance Board",IF(L2="High","Executive Owner",IF(L2="Moderate","Business Owner","Team Owner"))))</x:f>
        <x:v>Team Owner</x:v>
      </x:c>
    </x:row>
    <x:row r="12">
      <x:c r="K12" t="n">
        <x:f>SUM(C2:J2)</x:f>
        <x:v>4</x:v>
      </x:c>
      <x:c r="L12" t="str">
        <x:f>IF(K2&gt;=25,"Frontier",IF(K2&gt;=19,"Critical",IF(K2&gt;=13,"High",IF(K2&gt;=7,"Moderate","Low"))))</x:f>
        <x:v>Low</x:v>
      </x:c>
      <x:c r="M12" t="str">
        <x:f>IF(L2="Frontier","Board-Level Review",IF(L2="Critical","Executive Governance Board",IF(L2="High","Executive Owner",IF(L2="Moderate","Business Owner","Team Owner"))))</x:f>
        <x:v>Team Owner</x:v>
      </x:c>
    </x:row>
    <x:row r="13">
      <x:c r="K13" t="n">
        <x:f>SUM(C2:J2)</x:f>
        <x:v>4</x:v>
      </x:c>
      <x:c r="L13" t="str">
        <x:f>IF(K2&gt;=25,"Frontier",IF(K2&gt;=19,"Critical",IF(K2&gt;=13,"High",IF(K2&gt;=7,"Moderate","Low"))))</x:f>
        <x:v>Low</x:v>
      </x:c>
      <x:c r="M13" t="str">
        <x:f>IF(L2="Frontier","Board-Level Review",IF(L2="Critical","Executive Governance Board",IF(L2="High","Executive Owner",IF(L2="Moderate","Business Owner","Team Owner"))))</x:f>
        <x:v>Team Owner</x:v>
      </x:c>
    </x:row>
    <x:row r="14">
      <x:c r="K14" t="n">
        <x:f>SUM(C2:J2)</x:f>
        <x:v>4</x:v>
      </x:c>
      <x:c r="L14" t="str">
        <x:f>IF(K2&gt;=25,"Frontier",IF(K2&gt;=19,"Critical",IF(K2&gt;=13,"High",IF(K2&gt;=7,"Moderate","Low"))))</x:f>
        <x:v>Low</x:v>
      </x:c>
      <x:c r="M14" t="str">
        <x:f>IF(L2="Frontier","Board-Level Review",IF(L2="Critical","Executive Governance Board",IF(L2="High","Executive Owner",IF(L2="Moderate","Business Owner","Team Owner"))))</x:f>
        <x:v>Team Owner</x:v>
      </x:c>
    </x:row>
    <x:row r="15">
      <x:c r="K15" t="n">
        <x:f>SUM(C2:J2)</x:f>
        <x:v>4</x:v>
      </x:c>
      <x:c r="L15" t="str">
        <x:f>IF(K2&gt;=25,"Frontier",IF(K2&gt;=19,"Critical",IF(K2&gt;=13,"High",IF(K2&gt;=7,"Moderate","Low"))))</x:f>
        <x:v>Low</x:v>
      </x:c>
      <x:c r="M15" t="str">
        <x:f>IF(L2="Frontier","Board-Level Review",IF(L2="Critical","Executive Governance Board",IF(L2="High","Executive Owner",IF(L2="Moderate","Business Owner","Team Owner"))))</x:f>
        <x:v>Team Owner</x:v>
      </x:c>
    </x:row>
    <x:row r="16">
      <x:c r="K16" t="n">
        <x:f>SUM(C2:J2)</x:f>
        <x:v>4</x:v>
      </x:c>
      <x:c r="L16" t="str">
        <x:f>IF(K2&gt;=25,"Frontier",IF(K2&gt;=19,"Critical",IF(K2&gt;=13,"High",IF(K2&gt;=7,"Moderate","Low"))))</x:f>
        <x:v>Low</x:v>
      </x:c>
      <x:c r="M16" t="str">
        <x:f>IF(L2="Frontier","Board-Level Review",IF(L2="Critical","Executive Governance Board",IF(L2="High","Executive Owner",IF(L2="Moderate","Business Owner","Team Owner"))))</x:f>
        <x:v>Team Owner</x:v>
      </x:c>
    </x:row>
    <x:row r="17">
      <x:c r="K17" t="n">
        <x:f>SUM(C2:J2)</x:f>
        <x:v>4</x:v>
      </x:c>
      <x:c r="L17" t="str">
        <x:f>IF(K2&gt;=25,"Frontier",IF(K2&gt;=19,"Critical",IF(K2&gt;=13,"High",IF(K2&gt;=7,"Moderate","Low"))))</x:f>
        <x:v>Low</x:v>
      </x:c>
      <x:c r="M17" t="str">
        <x:f>IF(L2="Frontier","Board-Level Review",IF(L2="Critical","Executive Governance Board",IF(L2="High","Executive Owner",IF(L2="Moderate","Business Owner","Team Owner"))))</x:f>
        <x:v>Team Owner</x:v>
      </x:c>
    </x:row>
    <x:row r="18">
      <x:c r="K18" t="n">
        <x:f>SUM(C2:J2)</x:f>
        <x:v>4</x:v>
      </x:c>
      <x:c r="L18" t="str">
        <x:f>IF(K2&gt;=25,"Frontier",IF(K2&gt;=19,"Critical",IF(K2&gt;=13,"High",IF(K2&gt;=7,"Moderate","Low"))))</x:f>
        <x:v>Low</x:v>
      </x:c>
      <x:c r="M18" t="str">
        <x:f>IF(L2="Frontier","Board-Level Review",IF(L2="Critical","Executive Governance Board",IF(L2="High","Executive Owner",IF(L2="Moderate","Business Owner","Team Owner"))))</x:f>
        <x:v>Team Owner</x:v>
      </x:c>
    </x:row>
    <x:row r="19">
      <x:c r="K19" t="n">
        <x:f>SUM(C2:J2)</x:f>
        <x:v>4</x:v>
      </x:c>
      <x:c r="L19" t="str">
        <x:f>IF(K2&gt;=25,"Frontier",IF(K2&gt;=19,"Critical",IF(K2&gt;=13,"High",IF(K2&gt;=7,"Moderate","Low"))))</x:f>
        <x:v>Low</x:v>
      </x:c>
      <x:c r="M19" t="str">
        <x:f>IF(L2="Frontier","Board-Level Review",IF(L2="Critical","Executive Governance Board",IF(L2="High","Executive Owner",IF(L2="Moderate","Business Owner","Team Owner"))))</x:f>
        <x:v>Team Owner</x:v>
      </x:c>
    </x:row>
    <x:row r="20">
      <x:c r="K20" t="n">
        <x:f>SUM(C2:J2)</x:f>
        <x:v>4</x:v>
      </x:c>
      <x:c r="L20" t="str">
        <x:f>IF(K2&gt;=25,"Frontier",IF(K2&gt;=19,"Critical",IF(K2&gt;=13,"High",IF(K2&gt;=7,"Moderate","Low"))))</x:f>
        <x:v>Low</x:v>
      </x:c>
      <x:c r="M20" t="str">
        <x:f>IF(L2="Frontier","Board-Level Review",IF(L2="Critical","Executive Governance Board",IF(L2="High","Executive Owner",IF(L2="Moderate","Business Owner","Team Owner"))))</x:f>
        <x:v>Team Owner</x:v>
      </x:c>
    </x:row>
    <x:row r="21">
      <x:c r="K21" t="n">
        <x:f>SUM(C2:J2)</x:f>
        <x:v>4</x:v>
      </x:c>
      <x:c r="L21" t="str">
        <x:f>IF(K2&gt;=25,"Frontier",IF(K2&gt;=19,"Critical",IF(K2&gt;=13,"High",IF(K2&gt;=7,"Moderate","Low"))))</x:f>
        <x:v>Low</x:v>
      </x:c>
      <x:c r="M21" t="str">
        <x:f>IF(L2="Frontier","Board-Level Review",IF(L2="Critical","Executive Governance Board",IF(L2="High","Executive Owner",IF(L2="Moderate","Business Owner","Team Owner"))))</x:f>
        <x:v>Team Owner</x:v>
      </x:c>
    </x:row>
    <x:row r="22">
      <x:c r="K22" t="n">
        <x:f>SUM(C2:J2)</x:f>
        <x:v>4</x:v>
      </x:c>
      <x:c r="L22" t="str">
        <x:f>IF(K2&gt;=25,"Frontier",IF(K2&gt;=19,"Critical",IF(K2&gt;=13,"High",IF(K2&gt;=7,"Moderate","Low"))))</x:f>
        <x:v>Low</x:v>
      </x:c>
      <x:c r="M22" t="str">
        <x:f>IF(L2="Frontier","Board-Level Review",IF(L2="Critical","Executive Governance Board",IF(L2="High","Executive Owner",IF(L2="Moderate","Business Owner","Team Owner"))))</x:f>
        <x:v>Team Owner</x:v>
      </x:c>
    </x:row>
    <x:row r="23">
      <x:c r="K23" t="n">
        <x:f>SUM(C2:J2)</x:f>
        <x:v>4</x:v>
      </x:c>
      <x:c r="L23" t="str">
        <x:f>IF(K2&gt;=25,"Frontier",IF(K2&gt;=19,"Critical",IF(K2&gt;=13,"High",IF(K2&gt;=7,"Moderate","Low"))))</x:f>
        <x:v>Low</x:v>
      </x:c>
      <x:c r="M23" t="str">
        <x:f>IF(L2="Frontier","Board-Level Review",IF(L2="Critical","Executive Governance Board",IF(L2="High","Executive Owner",IF(L2="Moderate","Business Owner","Team Owner"))))</x:f>
        <x:v>Team Owner</x:v>
      </x:c>
    </x:row>
    <x:row r="24">
      <x:c r="K24" t="n">
        <x:f>SUM(C2:J2)</x:f>
        <x:v>4</x:v>
      </x:c>
      <x:c r="L24" t="str">
        <x:f>IF(K2&gt;=25,"Frontier",IF(K2&gt;=19,"Critical",IF(K2&gt;=13,"High",IF(K2&gt;=7,"Moderate","Low"))))</x:f>
        <x:v>Low</x:v>
      </x:c>
      <x:c r="M24" t="str">
        <x:f>IF(L2="Frontier","Board-Level Review",IF(L2="Critical","Executive Governance Board",IF(L2="High","Executive Owner",IF(L2="Moderate","Business Owner","Team Owner"))))</x:f>
        <x:v>Team Owner</x:v>
      </x:c>
    </x:row>
    <x:row r="25">
      <x:c r="K25" t="n">
        <x:f>SUM(C2:J2)</x:f>
        <x:v>4</x:v>
      </x:c>
      <x:c r="L25" t="str">
        <x:f>IF(K2&gt;=25,"Frontier",IF(K2&gt;=19,"Critical",IF(K2&gt;=13,"High",IF(K2&gt;=7,"Moderate","Low"))))</x:f>
        <x:v>Low</x:v>
      </x:c>
      <x:c r="M25" t="str">
        <x:f>IF(L2="Frontier","Board-Level Review",IF(L2="Critical","Executive Governance Board",IF(L2="High","Executive Owner",IF(L2="Moderate","Business Owner","Team Owner"))))</x:f>
        <x:v>Team Owner</x:v>
      </x:c>
    </x:row>
    <x:row r="26">
      <x:c r="K26" t="n">
        <x:f>SUM(C2:J2)</x:f>
        <x:v>4</x:v>
      </x:c>
      <x:c r="L26" t="str">
        <x:f>IF(K2&gt;=25,"Frontier",IF(K2&gt;=19,"Critical",IF(K2&gt;=13,"High",IF(K2&gt;=7,"Moderate","Low"))))</x:f>
        <x:v>Low</x:v>
      </x:c>
      <x:c r="M26" t="str">
        <x:f>IF(L2="Frontier","Board-Level Review",IF(L2="Critical","Executive Governance Board",IF(L2="High","Executive Owner",IF(L2="Moderate","Business Owner","Team Owner"))))</x:f>
        <x:v>Team Owner</x:v>
      </x:c>
    </x:row>
    <x:row r="27">
      <x:c r="K27" t="n">
        <x:f>SUM(C2:J2)</x:f>
        <x:v>4</x:v>
      </x:c>
      <x:c r="L27" t="str">
        <x:f>IF(K2&gt;=25,"Frontier",IF(K2&gt;=19,"Critical",IF(K2&gt;=13,"High",IF(K2&gt;=7,"Moderate","Low"))))</x:f>
        <x:v>Low</x:v>
      </x:c>
      <x:c r="M27" t="str">
        <x:f>IF(L2="Frontier","Board-Level Review",IF(L2="Critical","Executive Governance Board",IF(L2="High","Executive Owner",IF(L2="Moderate","Business Owner","Team Owner"))))</x:f>
        <x:v>Team Owner</x:v>
      </x:c>
    </x:row>
    <x:row r="28">
      <x:c r="K28" t="n">
        <x:f>SUM(C2:J2)</x:f>
        <x:v>4</x:v>
      </x:c>
      <x:c r="L28" t="str">
        <x:f>IF(K2&gt;=25,"Frontier",IF(K2&gt;=19,"Critical",IF(K2&gt;=13,"High",IF(K2&gt;=7,"Moderate","Low"))))</x:f>
        <x:v>Low</x:v>
      </x:c>
      <x:c r="M28" t="str">
        <x:f>IF(L2="Frontier","Board-Level Review",IF(L2="Critical","Executive Governance Board",IF(L2="High","Executive Owner",IF(L2="Moderate","Business Owner","Team Owner"))))</x:f>
        <x:v>Team Owner</x:v>
      </x:c>
    </x:row>
    <x:row r="29">
      <x:c r="K29" t="n">
        <x:f>SUM(C2:J2)</x:f>
        <x:v>4</x:v>
      </x:c>
      <x:c r="L29" t="str">
        <x:f>IF(K2&gt;=25,"Frontier",IF(K2&gt;=19,"Critical",IF(K2&gt;=13,"High",IF(K2&gt;=7,"Moderate","Low"))))</x:f>
        <x:v>Low</x:v>
      </x:c>
      <x:c r="M29" t="str">
        <x:f>IF(L2="Frontier","Board-Level Review",IF(L2="Critical","Executive Governance Board",IF(L2="High","Executive Owner",IF(L2="Moderate","Business Owner","Team Owner"))))</x:f>
        <x:v>Team Owner</x:v>
      </x:c>
    </x:row>
    <x:row r="30">
      <x:c r="K30" t="n">
        <x:f>SUM(C2:J2)</x:f>
        <x:v>4</x:v>
      </x:c>
      <x:c r="L30" t="str">
        <x:f>IF(K2&gt;=25,"Frontier",IF(K2&gt;=19,"Critical",IF(K2&gt;=13,"High",IF(K2&gt;=7,"Moderate","Low"))))</x:f>
        <x:v>Low</x:v>
      </x:c>
      <x:c r="M30" t="str">
        <x:f>IF(L2="Frontier","Board-Level Review",IF(L2="Critical","Executive Governance Board",IF(L2="High","Executive Owner",IF(L2="Moderate","Business Owner","Team Owner"))))</x:f>
        <x:v>Team Owner</x:v>
      </x:c>
    </x:row>
    <x:row r="31">
      <x:c r="K31" t="n">
        <x:f>SUM(C2:J2)</x:f>
        <x:v>4</x:v>
      </x:c>
      <x:c r="L31" t="str">
        <x:f>IF(K2&gt;=25,"Frontier",IF(K2&gt;=19,"Critical",IF(K2&gt;=13,"High",IF(K2&gt;=7,"Moderate","Low"))))</x:f>
        <x:v>Low</x:v>
      </x:c>
      <x:c r="M31" t="str">
        <x:f>IF(L2="Frontier","Board-Level Review",IF(L2="Critical","Executive Governance Board",IF(L2="High","Executive Owner",IF(L2="Moderate","Business Owner","Team Owner"))))</x:f>
        <x:v>Team Owner</x:v>
      </x:c>
    </x:row>
    <x:row r="32">
      <x:c r="K32" t="n">
        <x:f>SUM(C2:J2)</x:f>
        <x:v>4</x:v>
      </x:c>
      <x:c r="L32" t="str">
        <x:f>IF(K2&gt;=25,"Frontier",IF(K2&gt;=19,"Critical",IF(K2&gt;=13,"High",IF(K2&gt;=7,"Moderate","Low"))))</x:f>
        <x:v>Low</x:v>
      </x:c>
      <x:c r="M32" t="str">
        <x:f>IF(L2="Frontier","Board-Level Review",IF(L2="Critical","Executive Governance Board",IF(L2="High","Executive Owner",IF(L2="Moderate","Business Owner","Team Owner"))))</x:f>
        <x:v>Team Owner</x:v>
      </x:c>
    </x:row>
    <x:row r="33">
      <x:c r="K33" t="n">
        <x:f>SUM(C2:J2)</x:f>
        <x:v>4</x:v>
      </x:c>
      <x:c r="L33" t="str">
        <x:f>IF(K2&gt;=25,"Frontier",IF(K2&gt;=19,"Critical",IF(K2&gt;=13,"High",IF(K2&gt;=7,"Moderate","Low"))))</x:f>
        <x:v>Low</x:v>
      </x:c>
      <x:c r="M33" t="str">
        <x:f>IF(L2="Frontier","Board-Level Review",IF(L2="Critical","Executive Governance Board",IF(L2="High","Executive Owner",IF(L2="Moderate","Business Owner","Team Owner"))))</x:f>
        <x:v>Team Owner</x:v>
      </x:c>
    </x:row>
    <x:row r="34">
      <x:c r="K34" t="n">
        <x:f>SUM(C2:J2)</x:f>
        <x:v>4</x:v>
      </x:c>
      <x:c r="L34" t="str">
        <x:f>IF(K2&gt;=25,"Frontier",IF(K2&gt;=19,"Critical",IF(K2&gt;=13,"High",IF(K2&gt;=7,"Moderate","Low"))))</x:f>
        <x:v>Low</x:v>
      </x:c>
      <x:c r="M34" t="str">
        <x:f>IF(L2="Frontier","Board-Level Review",IF(L2="Critical","Executive Governance Board",IF(L2="High","Executive Owner",IF(L2="Moderate","Business Owner","Team Owner"))))</x:f>
        <x:v>Team Owner</x:v>
      </x:c>
    </x:row>
    <x:row r="35">
      <x:c r="K35" t="n">
        <x:f>SUM(C2:J2)</x:f>
        <x:v>4</x:v>
      </x:c>
      <x:c r="L35" t="str">
        <x:f>IF(K2&gt;=25,"Frontier",IF(K2&gt;=19,"Critical",IF(K2&gt;=13,"High",IF(K2&gt;=7,"Moderate","Low"))))</x:f>
        <x:v>Low</x:v>
      </x:c>
      <x:c r="M35" t="str">
        <x:f>IF(L2="Frontier","Board-Level Review",IF(L2="Critical","Executive Governance Board",IF(L2="High","Executive Owner",IF(L2="Moderate","Business Owner","Team Owner"))))</x:f>
        <x:v>Team Owner</x:v>
      </x:c>
    </x:row>
    <x:row r="36">
      <x:c r="K36" t="n">
        <x:f>SUM(C2:J2)</x:f>
        <x:v>4</x:v>
      </x:c>
      <x:c r="L36" t="str">
        <x:f>IF(K2&gt;=25,"Frontier",IF(K2&gt;=19,"Critical",IF(K2&gt;=13,"High",IF(K2&gt;=7,"Moderate","Low"))))</x:f>
        <x:v>Low</x:v>
      </x:c>
      <x:c r="M36" t="str">
        <x:f>IF(L2="Frontier","Board-Level Review",IF(L2="Critical","Executive Governance Board",IF(L2="High","Executive Owner",IF(L2="Moderate","Business Owner","Team Owner"))))</x:f>
        <x:v>Team Owner</x:v>
      </x:c>
    </x:row>
    <x:row r="37">
      <x:c r="K37" t="n">
        <x:f>SUM(C2:J2)</x:f>
        <x:v>4</x:v>
      </x:c>
      <x:c r="L37" t="str">
        <x:f>IF(K2&gt;=25,"Frontier",IF(K2&gt;=19,"Critical",IF(K2&gt;=13,"High",IF(K2&gt;=7,"Moderate","Low"))))</x:f>
        <x:v>Low</x:v>
      </x:c>
      <x:c r="M37" t="str">
        <x:f>IF(L2="Frontier","Board-Level Review",IF(L2="Critical","Executive Governance Board",IF(L2="High","Executive Owner",IF(L2="Moderate","Business Owner","Team Owner"))))</x:f>
        <x:v>Team Owner</x:v>
      </x:c>
    </x:row>
    <x:row r="38">
      <x:c r="K38" t="n">
        <x:f>SUM(C2:J2)</x:f>
        <x:v>4</x:v>
      </x:c>
      <x:c r="L38" t="str">
        <x:f>IF(K2&gt;=25,"Frontier",IF(K2&gt;=19,"Critical",IF(K2&gt;=13,"High",IF(K2&gt;=7,"Moderate","Low"))))</x:f>
        <x:v>Low</x:v>
      </x:c>
      <x:c r="M38" t="str">
        <x:f>IF(L2="Frontier","Board-Level Review",IF(L2="Critical","Executive Governance Board",IF(L2="High","Executive Owner",IF(L2="Moderate","Business Owner","Team Owner"))))</x:f>
        <x:v>Team Owner</x:v>
      </x:c>
    </x:row>
    <x:row r="39">
      <x:c r="K39" t="n">
        <x:f>SUM(C2:J2)</x:f>
        <x:v>4</x:v>
      </x:c>
      <x:c r="L39" t="str">
        <x:f>IF(K2&gt;=25,"Frontier",IF(K2&gt;=19,"Critical",IF(K2&gt;=13,"High",IF(K2&gt;=7,"Moderate","Low"))))</x:f>
        <x:v>Low</x:v>
      </x:c>
      <x:c r="M39" t="str">
        <x:f>IF(L2="Frontier","Board-Level Review",IF(L2="Critical","Executive Governance Board",IF(L2="High","Executive Owner",IF(L2="Moderate","Business Owner","Team Owner"))))</x:f>
        <x:v>Team Owner</x:v>
      </x:c>
    </x:row>
    <x:row r="40">
      <x:c r="K40" t="n">
        <x:f>SUM(C2:J2)</x:f>
        <x:v>4</x:v>
      </x:c>
      <x:c r="L40" t="str">
        <x:f>IF(K2&gt;=25,"Frontier",IF(K2&gt;=19,"Critical",IF(K2&gt;=13,"High",IF(K2&gt;=7,"Moderate","Low"))))</x:f>
        <x:v>Low</x:v>
      </x:c>
      <x:c r="M40" t="str">
        <x:f>IF(L2="Frontier","Board-Level Review",IF(L2="Critical","Executive Governance Board",IF(L2="High","Executive Owner",IF(L2="Moderate","Business Owner","Team Owner"))))</x:f>
        <x:v>Team Owner</x:v>
      </x:c>
    </x:row>
    <x:row r="41">
      <x:c r="K41" t="n">
        <x:f>SUM(C2:J2)</x:f>
        <x:v>4</x:v>
      </x:c>
      <x:c r="L41" t="str">
        <x:f>IF(K2&gt;=25,"Frontier",IF(K2&gt;=19,"Critical",IF(K2&gt;=13,"High",IF(K2&gt;=7,"Moderate","Low"))))</x:f>
        <x:v>Low</x:v>
      </x:c>
      <x:c r="M41" t="str">
        <x:f>IF(L2="Frontier","Board-Level Review",IF(L2="Critical","Executive Governance Board",IF(L2="High","Executive Owner",IF(L2="Moderate","Business Owner","Team Owner"))))</x:f>
        <x:v>Team Owner</x:v>
      </x:c>
    </x:row>
    <x:row r="42">
      <x:c r="K42" t="n">
        <x:f>SUM(C2:J2)</x:f>
        <x:v>4</x:v>
      </x:c>
      <x:c r="L42" t="str">
        <x:f>IF(K2&gt;=25,"Frontier",IF(K2&gt;=19,"Critical",IF(K2&gt;=13,"High",IF(K2&gt;=7,"Moderate","Low"))))</x:f>
        <x:v>Low</x:v>
      </x:c>
      <x:c r="M42" t="str">
        <x:f>IF(L2="Frontier","Board-Level Review",IF(L2="Critical","Executive Governance Board",IF(L2="High","Executive Owner",IF(L2="Moderate","Business Owner","Team Owner"))))</x:f>
        <x:v>Team Owner</x:v>
      </x:c>
    </x:row>
    <x:row r="43">
      <x:c r="K43" t="n">
        <x:f>SUM(C2:J2)</x:f>
        <x:v>4</x:v>
      </x:c>
      <x:c r="L43" t="str">
        <x:f>IF(K2&gt;=25,"Frontier",IF(K2&gt;=19,"Critical",IF(K2&gt;=13,"High",IF(K2&gt;=7,"Moderate","Low"))))</x:f>
        <x:v>Low</x:v>
      </x:c>
      <x:c r="M43" t="str">
        <x:f>IF(L2="Frontier","Board-Level Review",IF(L2="Critical","Executive Governance Board",IF(L2="High","Executive Owner",IF(L2="Moderate","Business Owner","Team Owner"))))</x:f>
        <x:v>Team Owner</x:v>
      </x:c>
    </x:row>
    <x:row r="44">
      <x:c r="K44" t="n">
        <x:f>SUM(C2:J2)</x:f>
        <x:v>4</x:v>
      </x:c>
      <x:c r="L44" t="str">
        <x:f>IF(K2&gt;=25,"Frontier",IF(K2&gt;=19,"Critical",IF(K2&gt;=13,"High",IF(K2&gt;=7,"Moderate","Low"))))</x:f>
        <x:v>Low</x:v>
      </x:c>
      <x:c r="M44" t="str">
        <x:f>IF(L2="Frontier","Board-Level Review",IF(L2="Critical","Executive Governance Board",IF(L2="High","Executive Owner",IF(L2="Moderate","Business Owner","Team Owner"))))</x:f>
        <x:v>Team Owner</x:v>
      </x:c>
    </x:row>
    <x:row r="45">
      <x:c r="K45" t="n">
        <x:f>SUM(C2:J2)</x:f>
        <x:v>4</x:v>
      </x:c>
      <x:c r="L45" t="str">
        <x:f>IF(K2&gt;=25,"Frontier",IF(K2&gt;=19,"Critical",IF(K2&gt;=13,"High",IF(K2&gt;=7,"Moderate","Low"))))</x:f>
        <x:v>Low</x:v>
      </x:c>
      <x:c r="M45" t="str">
        <x:f>IF(L2="Frontier","Board-Level Review",IF(L2="Critical","Executive Governance Board",IF(L2="High","Executive Owner",IF(L2="Moderate","Business Owner","Team Owner"))))</x:f>
        <x:v>Team Owner</x:v>
      </x:c>
    </x:row>
    <x:row r="46">
      <x:c r="K46" t="n">
        <x:f>SUM(C2:J2)</x:f>
        <x:v>4</x:v>
      </x:c>
      <x:c r="L46" t="str">
        <x:f>IF(K2&gt;=25,"Frontier",IF(K2&gt;=19,"Critical",IF(K2&gt;=13,"High",IF(K2&gt;=7,"Moderate","Low"))))</x:f>
        <x:v>Low</x:v>
      </x:c>
      <x:c r="M46" t="str">
        <x:f>IF(L2="Frontier","Board-Level Review",IF(L2="Critical","Executive Governance Board",IF(L2="High","Executive Owner",IF(L2="Moderate","Business Owner","Team Owner"))))</x:f>
        <x:v>Team Owner</x:v>
      </x:c>
    </x:row>
    <x:row r="47">
      <x:c r="K47" t="n">
        <x:f>SUM(C2:J2)</x:f>
        <x:v>4</x:v>
      </x:c>
      <x:c r="L47" t="str">
        <x:f>IF(K2&gt;=25,"Frontier",IF(K2&gt;=19,"Critical",IF(K2&gt;=13,"High",IF(K2&gt;=7,"Moderate","Low"))))</x:f>
        <x:v>Low</x:v>
      </x:c>
      <x:c r="M47" t="str">
        <x:f>IF(L2="Frontier","Board-Level Review",IF(L2="Critical","Executive Governance Board",IF(L2="High","Executive Owner",IF(L2="Moderate","Business Owner","Team Owner"))))</x:f>
        <x:v>Team Owner</x:v>
      </x:c>
    </x:row>
    <x:row r="48">
      <x:c r="K48" t="n">
        <x:f>SUM(C2:J2)</x:f>
        <x:v>4</x:v>
      </x:c>
      <x:c r="L48" t="str">
        <x:f>IF(K2&gt;=25,"Frontier",IF(K2&gt;=19,"Critical",IF(K2&gt;=13,"High",IF(K2&gt;=7,"Moderate","Low"))))</x:f>
        <x:v>Low</x:v>
      </x:c>
      <x:c r="M48" t="str">
        <x:f>IF(L2="Frontier","Board-Level Review",IF(L2="Critical","Executive Governance Board",IF(L2="High","Executive Owner",IF(L2="Moderate","Business Owner","Team Owner"))))</x:f>
        <x:v>Team Owner</x:v>
      </x:c>
    </x:row>
    <x:row r="49">
      <x:c r="K49" t="n">
        <x:f>SUM(C2:J2)</x:f>
        <x:v>4</x:v>
      </x:c>
      <x:c r="L49" t="str">
        <x:f>IF(K2&gt;=25,"Frontier",IF(K2&gt;=19,"Critical",IF(K2&gt;=13,"High",IF(K2&gt;=7,"Moderate","Low"))))</x:f>
        <x:v>Low</x:v>
      </x:c>
      <x:c r="M49" t="str">
        <x:f>IF(L2="Frontier","Board-Level Review",IF(L2="Critical","Executive Governance Board",IF(L2="High","Executive Owner",IF(L2="Moderate","Business Owner","Team Owner"))))</x:f>
        <x:v>Team Owner</x:v>
      </x:c>
    </x:row>
    <x:row r="50">
      <x:c r="K50" t="n">
        <x:f>SUM(C2:J2)</x:f>
        <x:v>4</x:v>
      </x:c>
      <x:c r="L50" t="str">
        <x:f>IF(K2&gt;=25,"Frontier",IF(K2&gt;=19,"Critical",IF(K2&gt;=13,"High",IF(K2&gt;=7,"Moderate","Low"))))</x:f>
        <x:v>Low</x:v>
      </x:c>
      <x:c r="M50" t="str">
        <x:f>IF(L2="Frontier","Board-Level Review",IF(L2="Critical","Executive Governance Board",IF(L2="High","Executive Owner",IF(L2="Moderate","Business Owner","Team Owner"))))</x:f>
        <x:v>Team Owner</x:v>
      </x:c>
    </x:row>
    <x:row r="51">
      <x:c r="K51" t="n">
        <x:f>SUM(C2:J2)</x:f>
        <x:v>4</x:v>
      </x:c>
      <x:c r="L51" t="str">
        <x:f>IF(K2&gt;=25,"Frontier",IF(K2&gt;=19,"Critical",IF(K2&gt;=13,"High",IF(K2&gt;=7,"Moderate","Low"))))</x:f>
        <x:v>Low</x:v>
      </x:c>
      <x:c r="M51" t="str">
        <x:f>IF(L2="Frontier","Board-Level Review",IF(L2="Critical","Executive Governance Board",IF(L2="High","Executive Owner",IF(L2="Moderate","Business Owner","Team Owner"))))</x:f>
        <x:v>Team Owner</x:v>
      </x:c>
    </x:row>
    <x:row r="52">
      <x:c r="K52" t="n">
        <x:f>SUM(C2:J2)</x:f>
        <x:v>4</x:v>
      </x:c>
      <x:c r="L52" t="str">
        <x:f>IF(K2&gt;=25,"Frontier",IF(K2&gt;=19,"Critical",IF(K2&gt;=13,"High",IF(K2&gt;=7,"Moderate","Low"))))</x:f>
        <x:v>Low</x:v>
      </x:c>
      <x:c r="M52" t="str">
        <x:f>IF(L2="Frontier","Board-Level Review",IF(L2="Critical","Executive Governance Board",IF(L2="High","Executive Owner",IF(L2="Moderate","Business Owner","Team Owner"))))</x:f>
        <x:v>Team Owner</x:v>
      </x:c>
    </x:row>
    <x:row r="53">
      <x:c r="K53" t="n">
        <x:f>SUM(C2:J2)</x:f>
        <x:v>4</x:v>
      </x:c>
      <x:c r="L53" t="str">
        <x:f>IF(K2&gt;=25,"Frontier",IF(K2&gt;=19,"Critical",IF(K2&gt;=13,"High",IF(K2&gt;=7,"Moderate","Low"))))</x:f>
        <x:v>Low</x:v>
      </x:c>
      <x:c r="M53" t="str">
        <x:f>IF(L2="Frontier","Board-Level Review",IF(L2="Critical","Executive Governance Board",IF(L2="High","Executive Owner",IF(L2="Moderate","Business Owner","Team Owner"))))</x:f>
        <x:v>Team Owner</x:v>
      </x:c>
    </x:row>
    <x:row r="54">
      <x:c r="K54" t="n">
        <x:f>SUM(C2:J2)</x:f>
        <x:v>4</x:v>
      </x:c>
      <x:c r="L54" t="str">
        <x:f>IF(K2&gt;=25,"Frontier",IF(K2&gt;=19,"Critical",IF(K2&gt;=13,"High",IF(K2&gt;=7,"Moderate","Low"))))</x:f>
        <x:v>Low</x:v>
      </x:c>
      <x:c r="M54" t="str">
        <x:f>IF(L2="Frontier","Board-Level Review",IF(L2="Critical","Executive Governance Board",IF(L2="High","Executive Owner",IF(L2="Moderate","Business Owner","Team Owner"))))</x:f>
        <x:v>Team Owner</x:v>
      </x:c>
    </x:row>
    <x:row r="55">
      <x:c r="K55" t="n">
        <x:f>SUM(C2:J2)</x:f>
        <x:v>4</x:v>
      </x:c>
      <x:c r="L55" t="str">
        <x:f>IF(K2&gt;=25,"Frontier",IF(K2&gt;=19,"Critical",IF(K2&gt;=13,"High",IF(K2&gt;=7,"Moderate","Low"))))</x:f>
        <x:v>Low</x:v>
      </x:c>
      <x:c r="M55" t="str">
        <x:f>IF(L2="Frontier","Board-Level Review",IF(L2="Critical","Executive Governance Board",IF(L2="High","Executive Owner",IF(L2="Moderate","Business Owner","Team Owner"))))</x:f>
        <x:v>Team Owner</x:v>
      </x:c>
    </x:row>
    <x:row r="56">
      <x:c r="K56" t="n">
        <x:f>SUM(C2:J2)</x:f>
        <x:v>4</x:v>
      </x:c>
      <x:c r="L56" t="str">
        <x:f>IF(K2&gt;=25,"Frontier",IF(K2&gt;=19,"Critical",IF(K2&gt;=13,"High",IF(K2&gt;=7,"Moderate","Low"))))</x:f>
        <x:v>Low</x:v>
      </x:c>
      <x:c r="M56" t="str">
        <x:f>IF(L2="Frontier","Board-Level Review",IF(L2="Critical","Executive Governance Board",IF(L2="High","Executive Owner",IF(L2="Moderate","Business Owner","Team Owner"))))</x:f>
        <x:v>Team Owner</x:v>
      </x:c>
    </x:row>
    <x:row r="57">
      <x:c r="K57" t="n">
        <x:f>SUM(C2:J2)</x:f>
        <x:v>4</x:v>
      </x:c>
      <x:c r="L57" t="str">
        <x:f>IF(K2&gt;=25,"Frontier",IF(K2&gt;=19,"Critical",IF(K2&gt;=13,"High",IF(K2&gt;=7,"Moderate","Low"))))</x:f>
        <x:v>Low</x:v>
      </x:c>
      <x:c r="M57" t="str">
        <x:f>IF(L2="Frontier","Board-Level Review",IF(L2="Critical","Executive Governance Board",IF(L2="High","Executive Owner",IF(L2="Moderate","Business Owner","Team Owner"))))</x:f>
        <x:v>Team Owner</x:v>
      </x:c>
    </x:row>
    <x:row r="58">
      <x:c r="K58" t="n">
        <x:f>SUM(C2:J2)</x:f>
        <x:v>4</x:v>
      </x:c>
      <x:c r="L58" t="str">
        <x:f>IF(K2&gt;=25,"Frontier",IF(K2&gt;=19,"Critical",IF(K2&gt;=13,"High",IF(K2&gt;=7,"Moderate","Low"))))</x:f>
        <x:v>Low</x:v>
      </x:c>
      <x:c r="M58" t="str">
        <x:f>IF(L2="Frontier","Board-Level Review",IF(L2="Critical","Executive Governance Board",IF(L2="High","Executive Owner",IF(L2="Moderate","Business Owner","Team Owner"))))</x:f>
        <x:v>Team Owner</x:v>
      </x:c>
    </x:row>
    <x:row r="59">
      <x:c r="K59" t="n">
        <x:f>SUM(C2:J2)</x:f>
        <x:v>4</x:v>
      </x:c>
      <x:c r="L59" t="str">
        <x:f>IF(K2&gt;=25,"Frontier",IF(K2&gt;=19,"Critical",IF(K2&gt;=13,"High",IF(K2&gt;=7,"Moderate","Low"))))</x:f>
        <x:v>Low</x:v>
      </x:c>
      <x:c r="M59" t="str">
        <x:f>IF(L2="Frontier","Board-Level Review",IF(L2="Critical","Executive Governance Board",IF(L2="High","Executive Owner",IF(L2="Moderate","Business Owner","Team Owner"))))</x:f>
        <x:v>Team Owner</x:v>
      </x:c>
    </x:row>
    <x:row r="60">
      <x:c r="K60" t="n">
        <x:f>SUM(C2:J2)</x:f>
        <x:v>4</x:v>
      </x:c>
      <x:c r="L60" t="str">
        <x:f>IF(K2&gt;=25,"Frontier",IF(K2&gt;=19,"Critical",IF(K2&gt;=13,"High",IF(K2&gt;=7,"Moderate","Low"))))</x:f>
        <x:v>Low</x:v>
      </x:c>
      <x:c r="M60" t="str">
        <x:f>IF(L2="Frontier","Board-Level Review",IF(L2="Critical","Executive Governance Board",IF(L2="High","Executive Owner",IF(L2="Moderate","Business Owner","Team Owner"))))</x:f>
        <x:v>Team Owner</x:v>
      </x:c>
    </x:row>
    <x:row r="61">
      <x:c r="K61" t="n">
        <x:f>SUM(C2:J2)</x:f>
        <x:v>4</x:v>
      </x:c>
      <x:c r="L61" t="str">
        <x:f>IF(K2&gt;=25,"Frontier",IF(K2&gt;=19,"Critical",IF(K2&gt;=13,"High",IF(K2&gt;=7,"Moderate","Low"))))</x:f>
        <x:v>Low</x:v>
      </x:c>
      <x:c r="M61" t="str">
        <x:f>IF(L2="Frontier","Board-Level Review",IF(L2="Critical","Executive Governance Board",IF(L2="High","Executive Owner",IF(L2="Moderate","Business Owner","Team Owner"))))</x:f>
        <x:v>Team Owner</x:v>
      </x:c>
    </x:row>
    <x:row r="62">
      <x:c r="K62" t="n">
        <x:f>SUM(C2:J2)</x:f>
        <x:v>4</x:v>
      </x:c>
      <x:c r="L62" t="str">
        <x:f>IF(K2&gt;=25,"Frontier",IF(K2&gt;=19,"Critical",IF(K2&gt;=13,"High",IF(K2&gt;=7,"Moderate","Low"))))</x:f>
        <x:v>Low</x:v>
      </x:c>
      <x:c r="M62" t="str">
        <x:f>IF(L2="Frontier","Board-Level Review",IF(L2="Critical","Executive Governance Board",IF(L2="High","Executive Owner",IF(L2="Moderate","Business Owner","Team Owner"))))</x:f>
        <x:v>Team Owner</x:v>
      </x:c>
    </x:row>
    <x:row r="63">
      <x:c r="K63" t="n">
        <x:f>SUM(C2:J2)</x:f>
        <x:v>4</x:v>
      </x:c>
      <x:c r="L63" t="str">
        <x:f>IF(K2&gt;=25,"Frontier",IF(K2&gt;=19,"Critical",IF(K2&gt;=13,"High",IF(K2&gt;=7,"Moderate","Low"))))</x:f>
        <x:v>Low</x:v>
      </x:c>
      <x:c r="M63" t="str">
        <x:f>IF(L2="Frontier","Board-Level Review",IF(L2="Critical","Executive Governance Board",IF(L2="High","Executive Owner",IF(L2="Moderate","Business Owner","Team Owner"))))</x:f>
        <x:v>Team Owner</x:v>
      </x:c>
    </x:row>
    <x:row r="64">
      <x:c r="K64" t="n">
        <x:f>SUM(C2:J2)</x:f>
        <x:v>4</x:v>
      </x:c>
      <x:c r="L64" t="str">
        <x:f>IF(K2&gt;=25,"Frontier",IF(K2&gt;=19,"Critical",IF(K2&gt;=13,"High",IF(K2&gt;=7,"Moderate","Low"))))</x:f>
        <x:v>Low</x:v>
      </x:c>
      <x:c r="M64" t="str">
        <x:f>IF(L2="Frontier","Board-Level Review",IF(L2="Critical","Executive Governance Board",IF(L2="High","Executive Owner",IF(L2="Moderate","Business Owner","Team Owner"))))</x:f>
        <x:v>Team Owner</x:v>
      </x:c>
    </x:row>
    <x:row r="65">
      <x:c r="K65" t="n">
        <x:f>SUM(C2:J2)</x:f>
        <x:v>4</x:v>
      </x:c>
      <x:c r="L65" t="str">
        <x:f>IF(K2&gt;=25,"Frontier",IF(K2&gt;=19,"Critical",IF(K2&gt;=13,"High",IF(K2&gt;=7,"Moderate","Low"))))</x:f>
        <x:v>Low</x:v>
      </x:c>
      <x:c r="M65" t="str">
        <x:f>IF(L2="Frontier","Board-Level Review",IF(L2="Critical","Executive Governance Board",IF(L2="High","Executive Owner",IF(L2="Moderate","Business Owner","Team Owner"))))</x:f>
        <x:v>Team Owner</x:v>
      </x:c>
    </x:row>
    <x:row r="66">
      <x:c r="K66" t="n">
        <x:f>SUM(C2:J2)</x:f>
        <x:v>4</x:v>
      </x:c>
      <x:c r="L66" t="str">
        <x:f>IF(K2&gt;=25,"Frontier",IF(K2&gt;=19,"Critical",IF(K2&gt;=13,"High",IF(K2&gt;=7,"Moderate","Low"))))</x:f>
        <x:v>Low</x:v>
      </x:c>
      <x:c r="M66" t="str">
        <x:f>IF(L2="Frontier","Board-Level Review",IF(L2="Critical","Executive Governance Board",IF(L2="High","Executive Owner",IF(L2="Moderate","Business Owner","Team Owner"))))</x:f>
        <x:v>Team Owner</x:v>
      </x:c>
    </x:row>
    <x:row r="67">
      <x:c r="K67" t="n">
        <x:f>SUM(C2:J2)</x:f>
        <x:v>4</x:v>
      </x:c>
      <x:c r="L67" t="str">
        <x:f>IF(K2&gt;=25,"Frontier",IF(K2&gt;=19,"Critical",IF(K2&gt;=13,"High",IF(K2&gt;=7,"Moderate","Low"))))</x:f>
        <x:v>Low</x:v>
      </x:c>
      <x:c r="M67" t="str">
        <x:f>IF(L2="Frontier","Board-Level Review",IF(L2="Critical","Executive Governance Board",IF(L2="High","Executive Owner",IF(L2="Moderate","Business Owner","Team Owner"))))</x:f>
        <x:v>Team Owner</x:v>
      </x:c>
    </x:row>
    <x:row r="68">
      <x:c r="K68" t="n">
        <x:f>SUM(C2:J2)</x:f>
        <x:v>4</x:v>
      </x:c>
      <x:c r="L68" t="str">
        <x:f>IF(K2&gt;=25,"Frontier",IF(K2&gt;=19,"Critical",IF(K2&gt;=13,"High",IF(K2&gt;=7,"Moderate","Low"))))</x:f>
        <x:v>Low</x:v>
      </x:c>
      <x:c r="M68" t="str">
        <x:f>IF(L2="Frontier","Board-Level Review",IF(L2="Critical","Executive Governance Board",IF(L2="High","Executive Owner",IF(L2="Moderate","Business Owner","Team Owner"))))</x:f>
        <x:v>Team Owner</x:v>
      </x:c>
    </x:row>
    <x:row r="69">
      <x:c r="K69" t="n">
        <x:f>SUM(C2:J2)</x:f>
        <x:v>4</x:v>
      </x:c>
      <x:c r="L69" t="str">
        <x:f>IF(K2&gt;=25,"Frontier",IF(K2&gt;=19,"Critical",IF(K2&gt;=13,"High",IF(K2&gt;=7,"Moderate","Low"))))</x:f>
        <x:v>Low</x:v>
      </x:c>
      <x:c r="M69" t="str">
        <x:f>IF(L2="Frontier","Board-Level Review",IF(L2="Critical","Executive Governance Board",IF(L2="High","Executive Owner",IF(L2="Moderate","Business Owner","Team Owner"))))</x:f>
        <x:v>Team Owner</x:v>
      </x:c>
    </x:row>
    <x:row r="70">
      <x:c r="K70" t="n">
        <x:f>SUM(C2:J2)</x:f>
        <x:v>4</x:v>
      </x:c>
      <x:c r="L70" t="str">
        <x:f>IF(K2&gt;=25,"Frontier",IF(K2&gt;=19,"Critical",IF(K2&gt;=13,"High",IF(K2&gt;=7,"Moderate","Low"))))</x:f>
        <x:v>Low</x:v>
      </x:c>
      <x:c r="M70" t="str">
        <x:f>IF(L2="Frontier","Board-Level Review",IF(L2="Critical","Executive Governance Board",IF(L2="High","Executive Owner",IF(L2="Moderate","Business Owner","Team Owner"))))</x:f>
        <x:v>Team Owner</x:v>
      </x:c>
    </x:row>
    <x:row r="71">
      <x:c r="K71" t="n">
        <x:f>SUM(C2:J2)</x:f>
        <x:v>4</x:v>
      </x:c>
      <x:c r="L71" t="str">
        <x:f>IF(K2&gt;=25,"Frontier",IF(K2&gt;=19,"Critical",IF(K2&gt;=13,"High",IF(K2&gt;=7,"Moderate","Low"))))</x:f>
        <x:v>Low</x:v>
      </x:c>
      <x:c r="M71" t="str">
        <x:f>IF(L2="Frontier","Board-Level Review",IF(L2="Critical","Executive Governance Board",IF(L2="High","Executive Owner",IF(L2="Moderate","Business Owner","Team Owner"))))</x:f>
        <x:v>Team Owner</x:v>
      </x:c>
    </x:row>
    <x:row r="72">
      <x:c r="K72" t="n">
        <x:f>SUM(C2:J2)</x:f>
        <x:v>4</x:v>
      </x:c>
      <x:c r="L72" t="str">
        <x:f>IF(K2&gt;=25,"Frontier",IF(K2&gt;=19,"Critical",IF(K2&gt;=13,"High",IF(K2&gt;=7,"Moderate","Low"))))</x:f>
        <x:v>Low</x:v>
      </x:c>
      <x:c r="M72" t="str">
        <x:f>IF(L2="Frontier","Board-Level Review",IF(L2="Critical","Executive Governance Board",IF(L2="High","Executive Owner",IF(L2="Moderate","Business Owner","Team Owner"))))</x:f>
        <x:v>Team Owner</x:v>
      </x:c>
    </x:row>
    <x:row r="73">
      <x:c r="K73" t="n">
        <x:f>SUM(C2:J2)</x:f>
        <x:v>4</x:v>
      </x:c>
      <x:c r="L73" t="str">
        <x:f>IF(K2&gt;=25,"Frontier",IF(K2&gt;=19,"Critical",IF(K2&gt;=13,"High",IF(K2&gt;=7,"Moderate","Low"))))</x:f>
        <x:v>Low</x:v>
      </x:c>
      <x:c r="M73" t="str">
        <x:f>IF(L2="Frontier","Board-Level Review",IF(L2="Critical","Executive Governance Board",IF(L2="High","Executive Owner",IF(L2="Moderate","Business Owner","Team Owner"))))</x:f>
        <x:v>Team Owner</x:v>
      </x:c>
    </x:row>
    <x:row r="74">
      <x:c r="K74" t="n">
        <x:f>SUM(C2:J2)</x:f>
        <x:v>4</x:v>
      </x:c>
      <x:c r="L74" t="str">
        <x:f>IF(K2&gt;=25,"Frontier",IF(K2&gt;=19,"Critical",IF(K2&gt;=13,"High",IF(K2&gt;=7,"Moderate","Low"))))</x:f>
        <x:v>Low</x:v>
      </x:c>
      <x:c r="M74" t="str">
        <x:f>IF(L2="Frontier","Board-Level Review",IF(L2="Critical","Executive Governance Board",IF(L2="High","Executive Owner",IF(L2="Moderate","Business Owner","Team Owner"))))</x:f>
        <x:v>Team Owner</x:v>
      </x:c>
    </x:row>
    <x:row r="75">
      <x:c r="K75" t="n">
        <x:f>SUM(C2:J2)</x:f>
        <x:v>4</x:v>
      </x:c>
      <x:c r="L75" t="str">
        <x:f>IF(K2&gt;=25,"Frontier",IF(K2&gt;=19,"Critical",IF(K2&gt;=13,"High",IF(K2&gt;=7,"Moderate","Low"))))</x:f>
        <x:v>Low</x:v>
      </x:c>
      <x:c r="M75" t="str">
        <x:f>IF(L2="Frontier","Board-Level Review",IF(L2="Critical","Executive Governance Board",IF(L2="High","Executive Owner",IF(L2="Moderate","Business Owner","Team Owner"))))</x:f>
        <x:v>Team Owner</x:v>
      </x:c>
    </x:row>
    <x:row r="76">
      <x:c r="K76" t="n">
        <x:f>SUM(C2:J2)</x:f>
        <x:v>4</x:v>
      </x:c>
      <x:c r="L76" t="str">
        <x:f>IF(K2&gt;=25,"Frontier",IF(K2&gt;=19,"Critical",IF(K2&gt;=13,"High",IF(K2&gt;=7,"Moderate","Low"))))</x:f>
        <x:v>Low</x:v>
      </x:c>
      <x:c r="M76" t="str">
        <x:f>IF(L2="Frontier","Board-Level Review",IF(L2="Critical","Executive Governance Board",IF(L2="High","Executive Owner",IF(L2="Moderate","Business Owner","Team Owner"))))</x:f>
        <x:v>Team Owner</x:v>
      </x:c>
    </x:row>
    <x:row r="77">
      <x:c r="K77" t="n">
        <x:f>SUM(C2:J2)</x:f>
        <x:v>4</x:v>
      </x:c>
      <x:c r="L77" t="str">
        <x:f>IF(K2&gt;=25,"Frontier",IF(K2&gt;=19,"Critical",IF(K2&gt;=13,"High",IF(K2&gt;=7,"Moderate","Low"))))</x:f>
        <x:v>Low</x:v>
      </x:c>
      <x:c r="M77" t="str">
        <x:f>IF(L2="Frontier","Board-Level Review",IF(L2="Critical","Executive Governance Board",IF(L2="High","Executive Owner",IF(L2="Moderate","Business Owner","Team Owner"))))</x:f>
        <x:v>Team Owner</x:v>
      </x:c>
    </x:row>
    <x:row r="78">
      <x:c r="K78" t="n">
        <x:f>SUM(C2:J2)</x:f>
        <x:v>4</x:v>
      </x:c>
      <x:c r="L78" t="str">
        <x:f>IF(K2&gt;=25,"Frontier",IF(K2&gt;=19,"Critical",IF(K2&gt;=13,"High",IF(K2&gt;=7,"Moderate","Low"))))</x:f>
        <x:v>Low</x:v>
      </x:c>
      <x:c r="M78" t="str">
        <x:f>IF(L2="Frontier","Board-Level Review",IF(L2="Critical","Executive Governance Board",IF(L2="High","Executive Owner",IF(L2="Moderate","Business Owner","Team Owner"))))</x:f>
        <x:v>Team Owner</x:v>
      </x:c>
    </x:row>
    <x:row r="79">
      <x:c r="K79" t="n">
        <x:f>SUM(C2:J2)</x:f>
        <x:v>4</x:v>
      </x:c>
      <x:c r="L79" t="str">
        <x:f>IF(K2&gt;=25,"Frontier",IF(K2&gt;=19,"Critical",IF(K2&gt;=13,"High",IF(K2&gt;=7,"Moderate","Low"))))</x:f>
        <x:v>Low</x:v>
      </x:c>
      <x:c r="M79" t="str">
        <x:f>IF(L2="Frontier","Board-Level Review",IF(L2="Critical","Executive Governance Board",IF(L2="High","Executive Owner",IF(L2="Moderate","Business Owner","Team Owner"))))</x:f>
        <x:v>Team Owner</x:v>
      </x:c>
    </x:row>
    <x:row r="80">
      <x:c r="K80" t="n">
        <x:f>SUM(C2:J2)</x:f>
        <x:v>4</x:v>
      </x:c>
      <x:c r="L80" t="str">
        <x:f>IF(K2&gt;=25,"Frontier",IF(K2&gt;=19,"Critical",IF(K2&gt;=13,"High",IF(K2&gt;=7,"Moderate","Low"))))</x:f>
        <x:v>Low</x:v>
      </x:c>
      <x:c r="M80" t="str">
        <x:f>IF(L2="Frontier","Board-Level Review",IF(L2="Critical","Executive Governance Board",IF(L2="High","Executive Owner",IF(L2="Moderate","Business Owner","Team Owner"))))</x:f>
        <x:v>Team Owner</x:v>
      </x:c>
    </x:row>
    <x:row r="81">
      <x:c r="K81" t="n">
        <x:f>SUM(C2:J2)</x:f>
        <x:v>4</x:v>
      </x:c>
      <x:c r="L81" t="str">
        <x:f>IF(K2&gt;=25,"Frontier",IF(K2&gt;=19,"Critical",IF(K2&gt;=13,"High",IF(K2&gt;=7,"Moderate","Low"))))</x:f>
        <x:v>Low</x:v>
      </x:c>
      <x:c r="M81" t="str">
        <x:f>IF(L2="Frontier","Board-Level Review",IF(L2="Critical","Executive Governance Board",IF(L2="High","Executive Owner",IF(L2="Moderate","Business Owner","Team Owner"))))</x:f>
        <x:v>Team Owner</x:v>
      </x:c>
    </x:row>
    <x:row r="82">
      <x:c r="K82" t="n">
        <x:f>SUM(C2:J2)</x:f>
        <x:v>4</x:v>
      </x:c>
      <x:c r="L82" t="str">
        <x:f>IF(K2&gt;=25,"Frontier",IF(K2&gt;=19,"Critical",IF(K2&gt;=13,"High",IF(K2&gt;=7,"Moderate","Low"))))</x:f>
        <x:v>Low</x:v>
      </x:c>
      <x:c r="M82" t="str">
        <x:f>IF(L2="Frontier","Board-Level Review",IF(L2="Critical","Executive Governance Board",IF(L2="High","Executive Owner",IF(L2="Moderate","Business Owner","Team Owner"))))</x:f>
        <x:v>Team Owner</x:v>
      </x:c>
    </x:row>
    <x:row r="83">
      <x:c r="K83" t="n">
        <x:f>SUM(C2:J2)</x:f>
        <x:v>4</x:v>
      </x:c>
      <x:c r="L83" t="str">
        <x:f>IF(K2&gt;=25,"Frontier",IF(K2&gt;=19,"Critical",IF(K2&gt;=13,"High",IF(K2&gt;=7,"Moderate","Low"))))</x:f>
        <x:v>Low</x:v>
      </x:c>
      <x:c r="M83" t="str">
        <x:f>IF(L2="Frontier","Board-Level Review",IF(L2="Critical","Executive Governance Board",IF(L2="High","Executive Owner",IF(L2="Moderate","Business Owner","Team Owner"))))</x:f>
        <x:v>Team Owner</x:v>
      </x:c>
    </x:row>
    <x:row r="84">
      <x:c r="K84" t="n">
        <x:f>SUM(C2:J2)</x:f>
        <x:v>4</x:v>
      </x:c>
      <x:c r="L84" t="str">
        <x:f>IF(K2&gt;=25,"Frontier",IF(K2&gt;=19,"Critical",IF(K2&gt;=13,"High",IF(K2&gt;=7,"Moderate","Low"))))</x:f>
        <x:v>Low</x:v>
      </x:c>
      <x:c r="M84" t="str">
        <x:f>IF(L2="Frontier","Board-Level Review",IF(L2="Critical","Executive Governance Board",IF(L2="High","Executive Owner",IF(L2="Moderate","Business Owner","Team Owner"))))</x:f>
        <x:v>Team Owner</x:v>
      </x:c>
    </x:row>
    <x:row r="85">
      <x:c r="K85" t="n">
        <x:f>SUM(C2:J2)</x:f>
        <x:v>4</x:v>
      </x:c>
      <x:c r="L85" t="str">
        <x:f>IF(K2&gt;=25,"Frontier",IF(K2&gt;=19,"Critical",IF(K2&gt;=13,"High",IF(K2&gt;=7,"Moderate","Low"))))</x:f>
        <x:v>Low</x:v>
      </x:c>
      <x:c r="M85" t="str">
        <x:f>IF(L2="Frontier","Board-Level Review",IF(L2="Critical","Executive Governance Board",IF(L2="High","Executive Owner",IF(L2="Moderate","Business Owner","Team Owner"))))</x:f>
        <x:v>Team Owner</x:v>
      </x:c>
    </x:row>
    <x:row r="86">
      <x:c r="K86" t="n">
        <x:f>SUM(C2:J2)</x:f>
        <x:v>4</x:v>
      </x:c>
      <x:c r="L86" t="str">
        <x:f>IF(K2&gt;=25,"Frontier",IF(K2&gt;=19,"Critical",IF(K2&gt;=13,"High",IF(K2&gt;=7,"Moderate","Low"))))</x:f>
        <x:v>Low</x:v>
      </x:c>
      <x:c r="M86" t="str">
        <x:f>IF(L2="Frontier","Board-Level Review",IF(L2="Critical","Executive Governance Board",IF(L2="High","Executive Owner",IF(L2="Moderate","Business Owner","Team Owner"))))</x:f>
        <x:v>Team Owner</x:v>
      </x:c>
    </x:row>
    <x:row r="87">
      <x:c r="K87" t="n">
        <x:f>SUM(C2:J2)</x:f>
        <x:v>4</x:v>
      </x:c>
      <x:c r="L87" t="str">
        <x:f>IF(K2&gt;=25,"Frontier",IF(K2&gt;=19,"Critical",IF(K2&gt;=13,"High",IF(K2&gt;=7,"Moderate","Low"))))</x:f>
        <x:v>Low</x:v>
      </x:c>
      <x:c r="M87" t="str">
        <x:f>IF(L2="Frontier","Board-Level Review",IF(L2="Critical","Executive Governance Board",IF(L2="High","Executive Owner",IF(L2="Moderate","Business Owner","Team Owner"))))</x:f>
        <x:v>Team Owner</x:v>
      </x:c>
    </x:row>
    <x:row r="88">
      <x:c r="K88" t="n">
        <x:f>SUM(C2:J2)</x:f>
        <x:v>4</x:v>
      </x:c>
      <x:c r="L88" t="str">
        <x:f>IF(K2&gt;=25,"Frontier",IF(K2&gt;=19,"Critical",IF(K2&gt;=13,"High",IF(K2&gt;=7,"Moderate","Low"))))</x:f>
        <x:v>Low</x:v>
      </x:c>
      <x:c r="M88" t="str">
        <x:f>IF(L2="Frontier","Board-Level Review",IF(L2="Critical","Executive Governance Board",IF(L2="High","Executive Owner",IF(L2="Moderate","Business Owner","Team Owner"))))</x:f>
        <x:v>Team Owner</x:v>
      </x:c>
    </x:row>
    <x:row r="89">
      <x:c r="K89" t="n">
        <x:f>SUM(C2:J2)</x:f>
        <x:v>4</x:v>
      </x:c>
      <x:c r="L89" t="str">
        <x:f>IF(K2&gt;=25,"Frontier",IF(K2&gt;=19,"Critical",IF(K2&gt;=13,"High",IF(K2&gt;=7,"Moderate","Low"))))</x:f>
        <x:v>Low</x:v>
      </x:c>
      <x:c r="M89" t="str">
        <x:f>IF(L2="Frontier","Board-Level Review",IF(L2="Critical","Executive Governance Board",IF(L2="High","Executive Owner",IF(L2="Moderate","Business Owner","Team Owner"))))</x:f>
        <x:v>Team Owner</x:v>
      </x:c>
    </x:row>
    <x:row r="90">
      <x:c r="K90" t="n">
        <x:f>SUM(C2:J2)</x:f>
        <x:v>4</x:v>
      </x:c>
      <x:c r="L90" t="str">
        <x:f>IF(K2&gt;=25,"Frontier",IF(K2&gt;=19,"Critical",IF(K2&gt;=13,"High",IF(K2&gt;=7,"Moderate","Low"))))</x:f>
        <x:v>Low</x:v>
      </x:c>
      <x:c r="M90" t="str">
        <x:f>IF(L2="Frontier","Board-Level Review",IF(L2="Critical","Executive Governance Board",IF(L2="High","Executive Owner",IF(L2="Moderate","Business Owner","Team Owner"))))</x:f>
        <x:v>Team Owner</x:v>
      </x:c>
    </x:row>
    <x:row r="91">
      <x:c r="K91" t="n">
        <x:f>SUM(C2:J2)</x:f>
        <x:v>4</x:v>
      </x:c>
      <x:c r="L91" t="str">
        <x:f>IF(K2&gt;=25,"Frontier",IF(K2&gt;=19,"Critical",IF(K2&gt;=13,"High",IF(K2&gt;=7,"Moderate","Low"))))</x:f>
        <x:v>Low</x:v>
      </x:c>
      <x:c r="M91" t="str">
        <x:f>IF(L2="Frontier","Board-Level Review",IF(L2="Critical","Executive Governance Board",IF(L2="High","Executive Owner",IF(L2="Moderate","Business Owner","Team Owner"))))</x:f>
        <x:v>Team Owner</x:v>
      </x:c>
    </x:row>
    <x:row r="92">
      <x:c r="K92" t="n">
        <x:f>SUM(C2:J2)</x:f>
        <x:v>4</x:v>
      </x:c>
      <x:c r="L92" t="str">
        <x:f>IF(K2&gt;=25,"Frontier",IF(K2&gt;=19,"Critical",IF(K2&gt;=13,"High",IF(K2&gt;=7,"Moderate","Low"))))</x:f>
        <x:v>Low</x:v>
      </x:c>
      <x:c r="M92" t="str">
        <x:f>IF(L2="Frontier","Board-Level Review",IF(L2="Critical","Executive Governance Board",IF(L2="High","Executive Owner",IF(L2="Moderate","Business Owner","Team Owner"))))</x:f>
        <x:v>Team Owner</x:v>
      </x:c>
    </x:row>
    <x:row r="93">
      <x:c r="K93" t="n">
        <x:f>SUM(C2:J2)</x:f>
        <x:v>4</x:v>
      </x:c>
      <x:c r="L93" t="str">
        <x:f>IF(K2&gt;=25,"Frontier",IF(K2&gt;=19,"Critical",IF(K2&gt;=13,"High",IF(K2&gt;=7,"Moderate","Low"))))</x:f>
        <x:v>Low</x:v>
      </x:c>
      <x:c r="M93" t="str">
        <x:f>IF(L2="Frontier","Board-Level Review",IF(L2="Critical","Executive Governance Board",IF(L2="High","Executive Owner",IF(L2="Moderate","Business Owner","Team Owner"))))</x:f>
        <x:v>Team Owner</x:v>
      </x:c>
    </x:row>
    <x:row r="94">
      <x:c r="K94" t="n">
        <x:f>SUM(C2:J2)</x:f>
        <x:v>4</x:v>
      </x:c>
      <x:c r="L94" t="str">
        <x:f>IF(K2&gt;=25,"Frontier",IF(K2&gt;=19,"Critical",IF(K2&gt;=13,"High",IF(K2&gt;=7,"Moderate","Low"))))</x:f>
        <x:v>Low</x:v>
      </x:c>
      <x:c r="M94" t="str">
        <x:f>IF(L2="Frontier","Board-Level Review",IF(L2="Critical","Executive Governance Board",IF(L2="High","Executive Owner",IF(L2="Moderate","Business Owner","Team Owner"))))</x:f>
        <x:v>Team Owner</x:v>
      </x:c>
    </x:row>
    <x:row r="95">
      <x:c r="K95" t="n">
        <x:f>SUM(C2:J2)</x:f>
        <x:v>4</x:v>
      </x:c>
      <x:c r="L95" t="str">
        <x:f>IF(K2&gt;=25,"Frontier",IF(K2&gt;=19,"Critical",IF(K2&gt;=13,"High",IF(K2&gt;=7,"Moderate","Low"))))</x:f>
        <x:v>Low</x:v>
      </x:c>
      <x:c r="M95" t="str">
        <x:f>IF(L2="Frontier","Board-Level Review",IF(L2="Critical","Executive Governance Board",IF(L2="High","Executive Owner",IF(L2="Moderate","Business Owner","Team Owner"))))</x:f>
        <x:v>Team Owner</x:v>
      </x:c>
    </x:row>
    <x:row r="96">
      <x:c r="K96" t="n">
        <x:f>SUM(C2:J2)</x:f>
        <x:v>4</x:v>
      </x:c>
      <x:c r="L96" t="str">
        <x:f>IF(K2&gt;=25,"Frontier",IF(K2&gt;=19,"Critical",IF(K2&gt;=13,"High",IF(K2&gt;=7,"Moderate","Low"))))</x:f>
        <x:v>Low</x:v>
      </x:c>
      <x:c r="M96" t="str">
        <x:f>IF(L2="Frontier","Board-Level Review",IF(L2="Critical","Executive Governance Board",IF(L2="High","Executive Owner",IF(L2="Moderate","Business Owner","Team Owner"))))</x:f>
        <x:v>Team Owner</x:v>
      </x:c>
    </x:row>
    <x:row r="97">
      <x:c r="K97" t="n">
        <x:f>SUM(C2:J2)</x:f>
        <x:v>4</x:v>
      </x:c>
      <x:c r="L97" t="str">
        <x:f>IF(K2&gt;=25,"Frontier",IF(K2&gt;=19,"Critical",IF(K2&gt;=13,"High",IF(K2&gt;=7,"Moderate","Low"))))</x:f>
        <x:v>Low</x:v>
      </x:c>
      <x:c r="M97" t="str">
        <x:f>IF(L2="Frontier","Board-Level Review",IF(L2="Critical","Executive Governance Board",IF(L2="High","Executive Owner",IF(L2="Moderate","Business Owner","Team Owner"))))</x:f>
        <x:v>Team Owner</x:v>
      </x:c>
    </x:row>
    <x:row r="98">
      <x:c r="K98" t="n">
        <x:f>SUM(C2:J2)</x:f>
        <x:v>4</x:v>
      </x:c>
      <x:c r="L98" t="str">
        <x:f>IF(K2&gt;=25,"Frontier",IF(K2&gt;=19,"Critical",IF(K2&gt;=13,"High",IF(K2&gt;=7,"Moderate","Low"))))</x:f>
        <x:v>Low</x:v>
      </x:c>
      <x:c r="M98" t="str">
        <x:f>IF(L2="Frontier","Board-Level Review",IF(L2="Critical","Executive Governance Board",IF(L2="High","Executive Owner",IF(L2="Moderate","Business Owner","Team Owner"))))</x:f>
        <x:v>Team Owner</x:v>
      </x:c>
    </x:row>
    <x:row r="99">
      <x:c r="K99" t="n">
        <x:f>SUM(C2:J2)</x:f>
        <x:v>4</x:v>
      </x:c>
      <x:c r="L99" t="str">
        <x:f>IF(K2&gt;=25,"Frontier",IF(K2&gt;=19,"Critical",IF(K2&gt;=13,"High",IF(K2&gt;=7,"Moderate","Low"))))</x:f>
        <x:v>Low</x:v>
      </x:c>
      <x:c r="M99" t="str">
        <x:f>IF(L2="Frontier","Board-Level Review",IF(L2="Critical","Executive Governance Board",IF(L2="High","Executive Owner",IF(L2="Moderate","Business Owner","Team Owner"))))</x:f>
        <x:v>Team Owner</x:v>
      </x:c>
    </x:row>
    <x:row r="100">
      <x:c r="K100" t="n">
        <x:f>SUM(C2:J2)</x:f>
        <x:v>4</x:v>
      </x:c>
      <x:c r="L100" t="str">
        <x:f>IF(K2&gt;=25,"Frontier",IF(K2&gt;=19,"Critical",IF(K2&gt;=13,"High",IF(K2&gt;=7,"Moderate","Low"))))</x:f>
        <x:v>Low</x:v>
      </x:c>
      <x:c r="M100" t="str">
        <x:f>IF(L2="Frontier","Board-Level Review",IF(L2="Critical","Executive Governance Board",IF(L2="High","Executive Owner",IF(L2="Moderate","Business Owner","Team Owner"))))</x:f>
        <x:v>Team Owner</x:v>
      </x:c>
    </x:row>
    <x:row r="101">
      <x:c r="K101" t="n">
        <x:f>SUM(C2:J2)</x:f>
        <x:v>4</x:v>
      </x:c>
      <x:c r="L101" t="str">
        <x:f>IF(K2&gt;=25,"Frontier",IF(K2&gt;=19,"Critical",IF(K2&gt;=13,"High",IF(K2&gt;=7,"Moderate","Low"))))</x:f>
        <x:v>Low</x:v>
      </x:c>
      <x:c r="M101" t="str">
        <x:f>IF(L2="Frontier","Board-Level Review",IF(L2="Critical","Executive Governance Board",IF(L2="High","Executive Owner",IF(L2="Moderate","Business Owner","Team Owner"))))</x:f>
        <x:v>Team Owner</x:v>
      </x:c>
    </x:row>
    <x:row r="102">
      <x:c r="K102" t="n">
        <x:f>SUM(C2:J2)</x:f>
        <x:v>4</x:v>
      </x:c>
      <x:c r="L102" t="str">
        <x:f>IF(K2&gt;=25,"Frontier",IF(K2&gt;=19,"Critical",IF(K2&gt;=13,"High",IF(K2&gt;=7,"Moderate","Low"))))</x:f>
        <x:v>Low</x:v>
      </x:c>
      <x:c r="M102" t="str">
        <x:f>IF(L2="Frontier","Board-Level Review",IF(L2="Critical","Executive Governance Board",IF(L2="High","Executive Owner",IF(L2="Moderate","Business Owner","Team Owner"))))</x:f>
        <x:v>Team Owner</x:v>
      </x:c>
    </x:row>
    <x:row r="103">
      <x:c r="K103" t="n">
        <x:f>SUM(C2:J2)</x:f>
        <x:v>4</x:v>
      </x:c>
      <x:c r="L103" t="str">
        <x:f>IF(K2&gt;=25,"Frontier",IF(K2&gt;=19,"Critical",IF(K2&gt;=13,"High",IF(K2&gt;=7,"Moderate","Low"))))</x:f>
        <x:v>Low</x:v>
      </x:c>
      <x:c r="M103" t="str">
        <x:f>IF(L2="Frontier","Board-Level Review",IF(L2="Critical","Executive Governance Board",IF(L2="High","Executive Owner",IF(L2="Moderate","Business Owner","Team Owner"))))</x:f>
        <x:v>Team Owner</x:v>
      </x:c>
    </x:row>
    <x:row r="104">
      <x:c r="K104" t="n">
        <x:f>SUM(C2:J2)</x:f>
        <x:v>4</x:v>
      </x:c>
      <x:c r="L104" t="str">
        <x:f>IF(K2&gt;=25,"Frontier",IF(K2&gt;=19,"Critical",IF(K2&gt;=13,"High",IF(K2&gt;=7,"Moderate","Low"))))</x:f>
        <x:v>Low</x:v>
      </x:c>
      <x:c r="M104" t="str">
        <x:f>IF(L2="Frontier","Board-Level Review",IF(L2="Critical","Executive Governance Board",IF(L2="High","Executive Owner",IF(L2="Moderate","Business Owner","Team Owner"))))</x:f>
        <x:v>Team Owner</x:v>
      </x:c>
    </x:row>
    <x:row r="105">
      <x:c r="K105" t="n">
        <x:f>SUM(C2:J2)</x:f>
        <x:v>4</x:v>
      </x:c>
      <x:c r="L105" t="str">
        <x:f>IF(K2&gt;=25,"Frontier",IF(K2&gt;=19,"Critical",IF(K2&gt;=13,"High",IF(K2&gt;=7,"Moderate","Low"))))</x:f>
        <x:v>Low</x:v>
      </x:c>
      <x:c r="M105" t="str">
        <x:f>IF(L2="Frontier","Board-Level Review",IF(L2="Critical","Executive Governance Board",IF(L2="High","Executive Owner",IF(L2="Moderate","Business Owner","Team Owner"))))</x:f>
        <x:v>Team Owner</x:v>
      </x:c>
    </x:row>
    <x:row r="106">
      <x:c r="K106" t="n">
        <x:f>SUM(C2:J2)</x:f>
        <x:v>4</x:v>
      </x:c>
      <x:c r="L106" t="str">
        <x:f>IF(K2&gt;=25,"Frontier",IF(K2&gt;=19,"Critical",IF(K2&gt;=13,"High",IF(K2&gt;=7,"Moderate","Low"))))</x:f>
        <x:v>Low</x:v>
      </x:c>
      <x:c r="M106" t="str">
        <x:f>IF(L2="Frontier","Board-Level Review",IF(L2="Critical","Executive Governance Board",IF(L2="High","Executive Owner",IF(L2="Moderate","Business Owner","Team Owner"))))</x:f>
        <x:v>Team Owner</x:v>
      </x:c>
    </x:row>
    <x:row r="107">
      <x:c r="K107" t="n">
        <x:f>SUM(C2:J2)</x:f>
        <x:v>4</x:v>
      </x:c>
      <x:c r="L107" t="str">
        <x:f>IF(K2&gt;=25,"Frontier",IF(K2&gt;=19,"Critical",IF(K2&gt;=13,"High",IF(K2&gt;=7,"Moderate","Low"))))</x:f>
        <x:v>Low</x:v>
      </x:c>
      <x:c r="M107" t="str">
        <x:f>IF(L2="Frontier","Board-Level Review",IF(L2="Critical","Executive Governance Board",IF(L2="High","Executive Owner",IF(L2="Moderate","Business Owner","Team Owner"))))</x:f>
        <x:v>Team Owner</x:v>
      </x:c>
    </x:row>
    <x:row r="108">
      <x:c r="K108" t="n">
        <x:f>SUM(C2:J2)</x:f>
        <x:v>4</x:v>
      </x:c>
      <x:c r="L108" t="str">
        <x:f>IF(K2&gt;=25,"Frontier",IF(K2&gt;=19,"Critical",IF(K2&gt;=13,"High",IF(K2&gt;=7,"Moderate","Low"))))</x:f>
        <x:v>Low</x:v>
      </x:c>
      <x:c r="M108" t="str">
        <x:f>IF(L2="Frontier","Board-Level Review",IF(L2="Critical","Executive Governance Board",IF(L2="High","Executive Owner",IF(L2="Moderate","Business Owner","Team Owner"))))</x:f>
        <x:v>Team Owner</x:v>
      </x:c>
    </x:row>
    <x:row r="109">
      <x:c r="K109" t="n">
        <x:f>SUM(C2:J2)</x:f>
        <x:v>4</x:v>
      </x:c>
      <x:c r="L109" t="str">
        <x:f>IF(K2&gt;=25,"Frontier",IF(K2&gt;=19,"Critical",IF(K2&gt;=13,"High",IF(K2&gt;=7,"Moderate","Low"))))</x:f>
        <x:v>Low</x:v>
      </x:c>
      <x:c r="M109" t="str">
        <x:f>IF(L2="Frontier","Board-Level Review",IF(L2="Critical","Executive Governance Board",IF(L2="High","Executive Owner",IF(L2="Moderate","Business Owner","Team Owner"))))</x:f>
        <x:v>Team Owner</x:v>
      </x:c>
    </x:row>
    <x:row r="110">
      <x:c r="K110" t="n">
        <x:f>SUM(C2:J2)</x:f>
        <x:v>4</x:v>
      </x:c>
      <x:c r="L110" t="str">
        <x:f>IF(K2&gt;=25,"Frontier",IF(K2&gt;=19,"Critical",IF(K2&gt;=13,"High",IF(K2&gt;=7,"Moderate","Low"))))</x:f>
        <x:v>Low</x:v>
      </x:c>
      <x:c r="M110" t="str">
        <x:f>IF(L2="Frontier","Board-Level Review",IF(L2="Critical","Executive Governance Board",IF(L2="High","Executive Owner",IF(L2="Moderate","Business Owner","Team Owner"))))</x:f>
        <x:v>Team Owner</x:v>
      </x:c>
    </x:row>
    <x:row r="111">
      <x:c r="K111" t="n">
        <x:f>SUM(C2:J2)</x:f>
        <x:v>4</x:v>
      </x:c>
      <x:c r="L111" t="str">
        <x:f>IF(K2&gt;=25,"Frontier",IF(K2&gt;=19,"Critical",IF(K2&gt;=13,"High",IF(K2&gt;=7,"Moderate","Low"))))</x:f>
        <x:v>Low</x:v>
      </x:c>
      <x:c r="M111" t="str">
        <x:f>IF(L2="Frontier","Board-Level Review",IF(L2="Critical","Executive Governance Board",IF(L2="High","Executive Owner",IF(L2="Moderate","Business Owner","Team Owner"))))</x:f>
        <x:v>Team Owner</x:v>
      </x:c>
    </x:row>
    <x:row r="112">
      <x:c r="K112" t="n">
        <x:f>SUM(C2:J2)</x:f>
        <x:v>4</x:v>
      </x:c>
      <x:c r="L112" t="str">
        <x:f>IF(K2&gt;=25,"Frontier",IF(K2&gt;=19,"Critical",IF(K2&gt;=13,"High",IF(K2&gt;=7,"Moderate","Low"))))</x:f>
        <x:v>Low</x:v>
      </x:c>
      <x:c r="M112" t="str">
        <x:f>IF(L2="Frontier","Board-Level Review",IF(L2="Critical","Executive Governance Board",IF(L2="High","Executive Owner",IF(L2="Moderate","Business Owner","Team Owner"))))</x:f>
        <x:v>Team Owner</x:v>
      </x:c>
    </x:row>
    <x:row r="113">
      <x:c r="K113" t="n">
        <x:f>SUM(C2:J2)</x:f>
        <x:v>4</x:v>
      </x:c>
      <x:c r="L113" t="str">
        <x:f>IF(K2&gt;=25,"Frontier",IF(K2&gt;=19,"Critical",IF(K2&gt;=13,"High",IF(K2&gt;=7,"Moderate","Low"))))</x:f>
        <x:v>Low</x:v>
      </x:c>
      <x:c r="M113" t="str">
        <x:f>IF(L2="Frontier","Board-Level Review",IF(L2="Critical","Executive Governance Board",IF(L2="High","Executive Owner",IF(L2="Moderate","Business Owner","Team Owner"))))</x:f>
        <x:v>Team Owner</x:v>
      </x:c>
    </x:row>
    <x:row r="114">
      <x:c r="K114" t="n">
        <x:f>SUM(C2:J2)</x:f>
        <x:v>4</x:v>
      </x:c>
      <x:c r="L114" t="str">
        <x:f>IF(K2&gt;=25,"Frontier",IF(K2&gt;=19,"Critical",IF(K2&gt;=13,"High",IF(K2&gt;=7,"Moderate","Low"))))</x:f>
        <x:v>Low</x:v>
      </x:c>
      <x:c r="M114" t="str">
        <x:f>IF(L2="Frontier","Board-Level Review",IF(L2="Critical","Executive Governance Board",IF(L2="High","Executive Owner",IF(L2="Moderate","Business Owner","Team Owner"))))</x:f>
        <x:v>Team Owner</x:v>
      </x:c>
    </x:row>
    <x:row r="115">
      <x:c r="K115" t="n">
        <x:f>SUM(C2:J2)</x:f>
        <x:v>4</x:v>
      </x:c>
      <x:c r="L115" t="str">
        <x:f>IF(K2&gt;=25,"Frontier",IF(K2&gt;=19,"Critical",IF(K2&gt;=13,"High",IF(K2&gt;=7,"Moderate","Low"))))</x:f>
        <x:v>Low</x:v>
      </x:c>
      <x:c r="M115" t="str">
        <x:f>IF(L2="Frontier","Board-Level Review",IF(L2="Critical","Executive Governance Board",IF(L2="High","Executive Owner",IF(L2="Moderate","Business Owner","Team Owner"))))</x:f>
        <x:v>Team Owner</x:v>
      </x:c>
    </x:row>
    <x:row r="116">
      <x:c r="K116" t="n">
        <x:f>SUM(C2:J2)</x:f>
        <x:v>4</x:v>
      </x:c>
      <x:c r="L116" t="str">
        <x:f>IF(K2&gt;=25,"Frontier",IF(K2&gt;=19,"Critical",IF(K2&gt;=13,"High",IF(K2&gt;=7,"Moderate","Low"))))</x:f>
        <x:v>Low</x:v>
      </x:c>
      <x:c r="M116" t="str">
        <x:f>IF(L2="Frontier","Board-Level Review",IF(L2="Critical","Executive Governance Board",IF(L2="High","Executive Owner",IF(L2="Moderate","Business Owner","Team Owner"))))</x:f>
        <x:v>Team Owner</x:v>
      </x:c>
    </x:row>
    <x:row r="117">
      <x:c r="K117" t="n">
        <x:f>SUM(C2:J2)</x:f>
        <x:v>4</x:v>
      </x:c>
      <x:c r="L117" t="str">
        <x:f>IF(K2&gt;=25,"Frontier",IF(K2&gt;=19,"Critical",IF(K2&gt;=13,"High",IF(K2&gt;=7,"Moderate","Low"))))</x:f>
        <x:v>Low</x:v>
      </x:c>
      <x:c r="M117" t="str">
        <x:f>IF(L2="Frontier","Board-Level Review",IF(L2="Critical","Executive Governance Board",IF(L2="High","Executive Owner",IF(L2="Moderate","Business Owner","Team Owner"))))</x:f>
        <x:v>Team Owner</x:v>
      </x:c>
    </x:row>
    <x:row r="118">
      <x:c r="K118" t="n">
        <x:f>SUM(C2:J2)</x:f>
        <x:v>4</x:v>
      </x:c>
      <x:c r="L118" t="str">
        <x:f>IF(K2&gt;=25,"Frontier",IF(K2&gt;=19,"Critical",IF(K2&gt;=13,"High",IF(K2&gt;=7,"Moderate","Low"))))</x:f>
        <x:v>Low</x:v>
      </x:c>
      <x:c r="M118" t="str">
        <x:f>IF(L2="Frontier","Board-Level Review",IF(L2="Critical","Executive Governance Board",IF(L2="High","Executive Owner",IF(L2="Moderate","Business Owner","Team Owner"))))</x:f>
        <x:v>Team Owner</x:v>
      </x:c>
    </x:row>
    <x:row r="119">
      <x:c r="K119" t="n">
        <x:f>SUM(C2:J2)</x:f>
        <x:v>4</x:v>
      </x:c>
      <x:c r="L119" t="str">
        <x:f>IF(K2&gt;=25,"Frontier",IF(K2&gt;=19,"Critical",IF(K2&gt;=13,"High",IF(K2&gt;=7,"Moderate","Low"))))</x:f>
        <x:v>Low</x:v>
      </x:c>
      <x:c r="M119" t="str">
        <x:f>IF(L2="Frontier","Board-Level Review",IF(L2="Critical","Executive Governance Board",IF(L2="High","Executive Owner",IF(L2="Moderate","Business Owner","Team Owner"))))</x:f>
        <x:v>Team Owner</x:v>
      </x:c>
    </x:row>
    <x:row r="120">
      <x:c r="K120" t="n">
        <x:f>SUM(C2:J2)</x:f>
        <x:v>4</x:v>
      </x:c>
      <x:c r="L120" t="str">
        <x:f>IF(K2&gt;=25,"Frontier",IF(K2&gt;=19,"Critical",IF(K2&gt;=13,"High",IF(K2&gt;=7,"Moderate","Low"))))</x:f>
        <x:v>Low</x:v>
      </x:c>
      <x:c r="M120" t="str">
        <x:f>IF(L2="Frontier","Board-Level Review",IF(L2="Critical","Executive Governance Board",IF(L2="High","Executive Owner",IF(L2="Moderate","Business Owner","Team Owner"))))</x:f>
        <x:v>Team Owner</x:v>
      </x:c>
    </x:row>
    <x:row r="121">
      <x:c r="K121" t="n">
        <x:f>SUM(C2:J2)</x:f>
        <x:v>4</x:v>
      </x:c>
      <x:c r="L121" t="str">
        <x:f>IF(K2&gt;=25,"Frontier",IF(K2&gt;=19,"Critical",IF(K2&gt;=13,"High",IF(K2&gt;=7,"Moderate","Low"))))</x:f>
        <x:v>Low</x:v>
      </x:c>
      <x:c r="M121" t="str">
        <x:f>IF(L2="Frontier","Board-Level Review",IF(L2="Critical","Executive Governance Board",IF(L2="High","Executive Owner",IF(L2="Moderate","Business Owner","Team Owner"))))</x:f>
        <x:v>Team Owner</x:v>
      </x:c>
    </x:row>
    <x:row r="122">
      <x:c r="K122" t="n">
        <x:f>SUM(C2:J2)</x:f>
        <x:v>4</x:v>
      </x:c>
      <x:c r="L122" t="str">
        <x:f>IF(K2&gt;=25,"Frontier",IF(K2&gt;=19,"Critical",IF(K2&gt;=13,"High",IF(K2&gt;=7,"Moderate","Low"))))</x:f>
        <x:v>Low</x:v>
      </x:c>
      <x:c r="M122" t="str">
        <x:f>IF(L2="Frontier","Board-Level Review",IF(L2="Critical","Executive Governance Board",IF(L2="High","Executive Owner",IF(L2="Moderate","Business Owner","Team Owner"))))</x:f>
        <x:v>Team Owner</x:v>
      </x:c>
    </x:row>
    <x:row r="123">
      <x:c r="K123" t="n">
        <x:f>SUM(C2:J2)</x:f>
        <x:v>4</x:v>
      </x:c>
      <x:c r="L123" t="str">
        <x:f>IF(K2&gt;=25,"Frontier",IF(K2&gt;=19,"Critical",IF(K2&gt;=13,"High",IF(K2&gt;=7,"Moderate","Low"))))</x:f>
        <x:v>Low</x:v>
      </x:c>
      <x:c r="M123" t="str">
        <x:f>IF(L2="Frontier","Board-Level Review",IF(L2="Critical","Executive Governance Board",IF(L2="High","Executive Owner",IF(L2="Moderate","Business Owner","Team Owner"))))</x:f>
        <x:v>Team Owner</x:v>
      </x:c>
    </x:row>
    <x:row r="124">
      <x:c r="K124" t="n">
        <x:f>SUM(C2:J2)</x:f>
        <x:v>4</x:v>
      </x:c>
      <x:c r="L124" t="str">
        <x:f>IF(K2&gt;=25,"Frontier",IF(K2&gt;=19,"Critical",IF(K2&gt;=13,"High",IF(K2&gt;=7,"Moderate","Low"))))</x:f>
        <x:v>Low</x:v>
      </x:c>
      <x:c r="M124" t="str">
        <x:f>IF(L2="Frontier","Board-Level Review",IF(L2="Critical","Executive Governance Board",IF(L2="High","Executive Owner",IF(L2="Moderate","Business Owner","Team Owner"))))</x:f>
        <x:v>Team Owner</x:v>
      </x:c>
    </x:row>
    <x:row r="125">
      <x:c r="K125" t="n">
        <x:f>SUM(C2:J2)</x:f>
        <x:v>4</x:v>
      </x:c>
      <x:c r="L125" t="str">
        <x:f>IF(K2&gt;=25,"Frontier",IF(K2&gt;=19,"Critical",IF(K2&gt;=13,"High",IF(K2&gt;=7,"Moderate","Low"))))</x:f>
        <x:v>Low</x:v>
      </x:c>
      <x:c r="M125" t="str">
        <x:f>IF(L2="Frontier","Board-Level Review",IF(L2="Critical","Executive Governance Board",IF(L2="High","Executive Owner",IF(L2="Moderate","Business Owner","Team Owner"))))</x:f>
        <x:v>Team Owner</x:v>
      </x:c>
    </x:row>
    <x:row r="126">
      <x:c r="K126" t="n">
        <x:f>SUM(C2:J2)</x:f>
        <x:v>4</x:v>
      </x:c>
      <x:c r="L126" t="str">
        <x:f>IF(K2&gt;=25,"Frontier",IF(K2&gt;=19,"Critical",IF(K2&gt;=13,"High",IF(K2&gt;=7,"Moderate","Low"))))</x:f>
        <x:v>Low</x:v>
      </x:c>
      <x:c r="M126" t="str">
        <x:f>IF(L2="Frontier","Board-Level Review",IF(L2="Critical","Executive Governance Board",IF(L2="High","Executive Owner",IF(L2="Moderate","Business Owner","Team Owner"))))</x:f>
        <x:v>Team Owner</x:v>
      </x:c>
    </x:row>
    <x:row r="127">
      <x:c r="K127" t="n">
        <x:f>SUM(C2:J2)</x:f>
        <x:v>4</x:v>
      </x:c>
      <x:c r="L127" t="str">
        <x:f>IF(K2&gt;=25,"Frontier",IF(K2&gt;=19,"Critical",IF(K2&gt;=13,"High",IF(K2&gt;=7,"Moderate","Low"))))</x:f>
        <x:v>Low</x:v>
      </x:c>
      <x:c r="M127" t="str">
        <x:f>IF(L2="Frontier","Board-Level Review",IF(L2="Critical","Executive Governance Board",IF(L2="High","Executive Owner",IF(L2="Moderate","Business Owner","Team Owner"))))</x:f>
        <x:v>Team Owner</x:v>
      </x:c>
    </x:row>
    <x:row r="128">
      <x:c r="K128" t="n">
        <x:f>SUM(C2:J2)</x:f>
        <x:v>4</x:v>
      </x:c>
      <x:c r="L128" t="str">
        <x:f>IF(K2&gt;=25,"Frontier",IF(K2&gt;=19,"Critical",IF(K2&gt;=13,"High",IF(K2&gt;=7,"Moderate","Low"))))</x:f>
        <x:v>Low</x:v>
      </x:c>
      <x:c r="M128" t="str">
        <x:f>IF(L2="Frontier","Board-Level Review",IF(L2="Critical","Executive Governance Board",IF(L2="High","Executive Owner",IF(L2="Moderate","Business Owner","Team Owner"))))</x:f>
        <x:v>Team Owner</x:v>
      </x:c>
    </x:row>
    <x:row r="129">
      <x:c r="K129" t="n">
        <x:f>SUM(C2:J2)</x:f>
        <x:v>4</x:v>
      </x:c>
      <x:c r="L129" t="str">
        <x:f>IF(K2&gt;=25,"Frontier",IF(K2&gt;=19,"Critical",IF(K2&gt;=13,"High",IF(K2&gt;=7,"Moderate","Low"))))</x:f>
        <x:v>Low</x:v>
      </x:c>
      <x:c r="M129" t="str">
        <x:f>IF(L2="Frontier","Board-Level Review",IF(L2="Critical","Executive Governance Board",IF(L2="High","Executive Owner",IF(L2="Moderate","Business Owner","Team Owner"))))</x:f>
        <x:v>Team Owner</x:v>
      </x:c>
    </x:row>
    <x:row r="130">
      <x:c r="K130" t="n">
        <x:f>SUM(C2:J2)</x:f>
        <x:v>4</x:v>
      </x:c>
      <x:c r="L130" t="str">
        <x:f>IF(K2&gt;=25,"Frontier",IF(K2&gt;=19,"Critical",IF(K2&gt;=13,"High",IF(K2&gt;=7,"Moderate","Low"))))</x:f>
        <x:v>Low</x:v>
      </x:c>
      <x:c r="M130" t="str">
        <x:f>IF(L2="Frontier","Board-Level Review",IF(L2="Critical","Executive Governance Board",IF(L2="High","Executive Owner",IF(L2="Moderate","Business Owner","Team Owner"))))</x:f>
        <x:v>Team Owner</x:v>
      </x:c>
    </x:row>
    <x:row r="131">
      <x:c r="K131" t="n">
        <x:f>SUM(C2:J2)</x:f>
        <x:v>4</x:v>
      </x:c>
      <x:c r="L131" t="str">
        <x:f>IF(K2&gt;=25,"Frontier",IF(K2&gt;=19,"Critical",IF(K2&gt;=13,"High",IF(K2&gt;=7,"Moderate","Low"))))</x:f>
        <x:v>Low</x:v>
      </x:c>
      <x:c r="M131" t="str">
        <x:f>IF(L2="Frontier","Board-Level Review",IF(L2="Critical","Executive Governance Board",IF(L2="High","Executive Owner",IF(L2="Moderate","Business Owner","Team Owner"))))</x:f>
        <x:v>Team Owner</x:v>
      </x:c>
    </x:row>
    <x:row r="132">
      <x:c r="K132" t="n">
        <x:f>SUM(C2:J2)</x:f>
        <x:v>4</x:v>
      </x:c>
      <x:c r="L132" t="str">
        <x:f>IF(K2&gt;=25,"Frontier",IF(K2&gt;=19,"Critical",IF(K2&gt;=13,"High",IF(K2&gt;=7,"Moderate","Low"))))</x:f>
        <x:v>Low</x:v>
      </x:c>
      <x:c r="M132" t="str">
        <x:f>IF(L2="Frontier","Board-Level Review",IF(L2="Critical","Executive Governance Board",IF(L2="High","Executive Owner",IF(L2="Moderate","Business Owner","Team Owner"))))</x:f>
        <x:v>Team Owner</x:v>
      </x:c>
    </x:row>
    <x:row r="133">
      <x:c r="K133" t="n">
        <x:f>SUM(C2:J2)</x:f>
        <x:v>4</x:v>
      </x:c>
      <x:c r="L133" t="str">
        <x:f>IF(K2&gt;=25,"Frontier",IF(K2&gt;=19,"Critical",IF(K2&gt;=13,"High",IF(K2&gt;=7,"Moderate","Low"))))</x:f>
        <x:v>Low</x:v>
      </x:c>
      <x:c r="M133" t="str">
        <x:f>IF(L2="Frontier","Board-Level Review",IF(L2="Critical","Executive Governance Board",IF(L2="High","Executive Owner",IF(L2="Moderate","Business Owner","Team Owner"))))</x:f>
        <x:v>Team Owner</x:v>
      </x:c>
    </x:row>
    <x:row r="134">
      <x:c r="K134" t="n">
        <x:f>SUM(C2:J2)</x:f>
        <x:v>4</x:v>
      </x:c>
      <x:c r="L134" t="str">
        <x:f>IF(K2&gt;=25,"Frontier",IF(K2&gt;=19,"Critical",IF(K2&gt;=13,"High",IF(K2&gt;=7,"Moderate","Low"))))</x:f>
        <x:v>Low</x:v>
      </x:c>
      <x:c r="M134" t="str">
        <x:f>IF(L2="Frontier","Board-Level Review",IF(L2="Critical","Executive Governance Board",IF(L2="High","Executive Owner",IF(L2="Moderate","Business Owner","Team Owner"))))</x:f>
        <x:v>Team Owner</x:v>
      </x:c>
    </x:row>
    <x:row r="135">
      <x:c r="K135" t="n">
        <x:f>SUM(C2:J2)</x:f>
        <x:v>4</x:v>
      </x:c>
      <x:c r="L135" t="str">
        <x:f>IF(K2&gt;=25,"Frontier",IF(K2&gt;=19,"Critical",IF(K2&gt;=13,"High",IF(K2&gt;=7,"Moderate","Low"))))</x:f>
        <x:v>Low</x:v>
      </x:c>
      <x:c r="M135" t="str">
        <x:f>IF(L2="Frontier","Board-Level Review",IF(L2="Critical","Executive Governance Board",IF(L2="High","Executive Owner",IF(L2="Moderate","Business Owner","Team Owner"))))</x:f>
        <x:v>Team Owner</x:v>
      </x:c>
    </x:row>
    <x:row r="136">
      <x:c r="K136" t="n">
        <x:f>SUM(C2:J2)</x:f>
        <x:v>4</x:v>
      </x:c>
      <x:c r="L136" t="str">
        <x:f>IF(K2&gt;=25,"Frontier",IF(K2&gt;=19,"Critical",IF(K2&gt;=13,"High",IF(K2&gt;=7,"Moderate","Low"))))</x:f>
        <x:v>Low</x:v>
      </x:c>
      <x:c r="M136" t="str">
        <x:f>IF(L2="Frontier","Board-Level Review",IF(L2="Critical","Executive Governance Board",IF(L2="High","Executive Owner",IF(L2="Moderate","Business Owner","Team Owner"))))</x:f>
        <x:v>Team Owner</x:v>
      </x:c>
    </x:row>
    <x:row r="137">
      <x:c r="K137" t="n">
        <x:f>SUM(C2:J2)</x:f>
        <x:v>4</x:v>
      </x:c>
      <x:c r="L137" t="str">
        <x:f>IF(K2&gt;=25,"Frontier",IF(K2&gt;=19,"Critical",IF(K2&gt;=13,"High",IF(K2&gt;=7,"Moderate","Low"))))</x:f>
        <x:v>Low</x:v>
      </x:c>
      <x:c r="M137" t="str">
        <x:f>IF(L2="Frontier","Board-Level Review",IF(L2="Critical","Executive Governance Board",IF(L2="High","Executive Owner",IF(L2="Moderate","Business Owner","Team Owner"))))</x:f>
        <x:v>Team Owner</x:v>
      </x:c>
    </x:row>
    <x:row r="138">
      <x:c r="K138" t="n">
        <x:f>SUM(C2:J2)</x:f>
        <x:v>4</x:v>
      </x:c>
      <x:c r="L138" t="str">
        <x:f>IF(K2&gt;=25,"Frontier",IF(K2&gt;=19,"Critical",IF(K2&gt;=13,"High",IF(K2&gt;=7,"Moderate","Low"))))</x:f>
        <x:v>Low</x:v>
      </x:c>
      <x:c r="M138" t="str">
        <x:f>IF(L2="Frontier","Board-Level Review",IF(L2="Critical","Executive Governance Board",IF(L2="High","Executive Owner",IF(L2="Moderate","Business Owner","Team Owner"))))</x:f>
        <x:v>Team Owner</x:v>
      </x:c>
    </x:row>
    <x:row r="139">
      <x:c r="K139" t="n">
        <x:f>SUM(C2:J2)</x:f>
        <x:v>4</x:v>
      </x:c>
      <x:c r="L139" t="str">
        <x:f>IF(K2&gt;=25,"Frontier",IF(K2&gt;=19,"Critical",IF(K2&gt;=13,"High",IF(K2&gt;=7,"Moderate","Low"))))</x:f>
        <x:v>Low</x:v>
      </x:c>
      <x:c r="M139" t="str">
        <x:f>IF(L2="Frontier","Board-Level Review",IF(L2="Critical","Executive Governance Board",IF(L2="High","Executive Owner",IF(L2="Moderate","Business Owner","Team Owner"))))</x:f>
        <x:v>Team Owner</x:v>
      </x:c>
    </x:row>
    <x:row r="140">
      <x:c r="K140" t="n">
        <x:f>SUM(C2:J2)</x:f>
        <x:v>4</x:v>
      </x:c>
      <x:c r="L140" t="str">
        <x:f>IF(K2&gt;=25,"Frontier",IF(K2&gt;=19,"Critical",IF(K2&gt;=13,"High",IF(K2&gt;=7,"Moderate","Low"))))</x:f>
        <x:v>Low</x:v>
      </x:c>
      <x:c r="M140" t="str">
        <x:f>IF(L2="Frontier","Board-Level Review",IF(L2="Critical","Executive Governance Board",IF(L2="High","Executive Owner",IF(L2="Moderate","Business Owner","Team Owner"))))</x:f>
        <x:v>Team Owner</x:v>
      </x:c>
    </x:row>
    <x:row r="141">
      <x:c r="K141" t="n">
        <x:f>SUM(C2:J2)</x:f>
        <x:v>4</x:v>
      </x:c>
      <x:c r="L141" t="str">
        <x:f>IF(K2&gt;=25,"Frontier",IF(K2&gt;=19,"Critical",IF(K2&gt;=13,"High",IF(K2&gt;=7,"Moderate","Low"))))</x:f>
        <x:v>Low</x:v>
      </x:c>
      <x:c r="M141" t="str">
        <x:f>IF(L2="Frontier","Board-Level Review",IF(L2="Critical","Executive Governance Board",IF(L2="High","Executive Owner",IF(L2="Moderate","Business Owner","Team Owner"))))</x:f>
        <x:v>Team Owner</x:v>
      </x:c>
    </x:row>
    <x:row r="142">
      <x:c r="K142" t="n">
        <x:f>SUM(C2:J2)</x:f>
        <x:v>4</x:v>
      </x:c>
      <x:c r="L142" t="str">
        <x:f>IF(K2&gt;=25,"Frontier",IF(K2&gt;=19,"Critical",IF(K2&gt;=13,"High",IF(K2&gt;=7,"Moderate","Low"))))</x:f>
        <x:v>Low</x:v>
      </x:c>
      <x:c r="M142" t="str">
        <x:f>IF(L2="Frontier","Board-Level Review",IF(L2="Critical","Executive Governance Board",IF(L2="High","Executive Owner",IF(L2="Moderate","Business Owner","Team Owner"))))</x:f>
        <x:v>Team Owner</x:v>
      </x:c>
    </x:row>
    <x:row r="143">
      <x:c r="K143" t="n">
        <x:f>SUM(C2:J2)</x:f>
        <x:v>4</x:v>
      </x:c>
      <x:c r="L143" t="str">
        <x:f>IF(K2&gt;=25,"Frontier",IF(K2&gt;=19,"Critical",IF(K2&gt;=13,"High",IF(K2&gt;=7,"Moderate","Low"))))</x:f>
        <x:v>Low</x:v>
      </x:c>
      <x:c r="M143" t="str">
        <x:f>IF(L2="Frontier","Board-Level Review",IF(L2="Critical","Executive Governance Board",IF(L2="High","Executive Owner",IF(L2="Moderate","Business Owner","Team Owner"))))</x:f>
        <x:v>Team Owner</x:v>
      </x:c>
    </x:row>
    <x:row r="144">
      <x:c r="K144" t="n">
        <x:f>SUM(C2:J2)</x:f>
        <x:v>4</x:v>
      </x:c>
      <x:c r="L144" t="str">
        <x:f>IF(K2&gt;=25,"Frontier",IF(K2&gt;=19,"Critical",IF(K2&gt;=13,"High",IF(K2&gt;=7,"Moderate","Low"))))</x:f>
        <x:v>Low</x:v>
      </x:c>
      <x:c r="M144" t="str">
        <x:f>IF(L2="Frontier","Board-Level Review",IF(L2="Critical","Executive Governance Board",IF(L2="High","Executive Owner",IF(L2="Moderate","Business Owner","Team Owner"))))</x:f>
        <x:v>Team Owner</x:v>
      </x:c>
    </x:row>
    <x:row r="145">
      <x:c r="K145" t="n">
        <x:f>SUM(C2:J2)</x:f>
        <x:v>4</x:v>
      </x:c>
      <x:c r="L145" t="str">
        <x:f>IF(K2&gt;=25,"Frontier",IF(K2&gt;=19,"Critical",IF(K2&gt;=13,"High",IF(K2&gt;=7,"Moderate","Low"))))</x:f>
        <x:v>Low</x:v>
      </x:c>
      <x:c r="M145" t="str">
        <x:f>IF(L2="Frontier","Board-Level Review",IF(L2="Critical","Executive Governance Board",IF(L2="High","Executive Owner",IF(L2="Moderate","Business Owner","Team Owner"))))</x:f>
        <x:v>Team Owner</x:v>
      </x:c>
    </x:row>
    <x:row r="146">
      <x:c r="K146" t="n">
        <x:f>SUM(C2:J2)</x:f>
        <x:v>4</x:v>
      </x:c>
      <x:c r="L146" t="str">
        <x:f>IF(K2&gt;=25,"Frontier",IF(K2&gt;=19,"Critical",IF(K2&gt;=13,"High",IF(K2&gt;=7,"Moderate","Low"))))</x:f>
        <x:v>Low</x:v>
      </x:c>
      <x:c r="M146" t="str">
        <x:f>IF(L2="Frontier","Board-Level Review",IF(L2="Critical","Executive Governance Board",IF(L2="High","Executive Owner",IF(L2="Moderate","Business Owner","Team Owner"))))</x:f>
        <x:v>Team Owner</x:v>
      </x:c>
    </x:row>
    <x:row r="147">
      <x:c r="K147" t="n">
        <x:f>SUM(C2:J2)</x:f>
        <x:v>4</x:v>
      </x:c>
      <x:c r="L147" t="str">
        <x:f>IF(K2&gt;=25,"Frontier",IF(K2&gt;=19,"Critical",IF(K2&gt;=13,"High",IF(K2&gt;=7,"Moderate","Low"))))</x:f>
        <x:v>Low</x:v>
      </x:c>
      <x:c r="M147" t="str">
        <x:f>IF(L2="Frontier","Board-Level Review",IF(L2="Critical","Executive Governance Board",IF(L2="High","Executive Owner",IF(L2="Moderate","Business Owner","Team Owner"))))</x:f>
        <x:v>Team Owner</x:v>
      </x:c>
    </x:row>
    <x:row r="148">
      <x:c r="K148" t="n">
        <x:f>SUM(C2:J2)</x:f>
        <x:v>4</x:v>
      </x:c>
      <x:c r="L148" t="str">
        <x:f>IF(K2&gt;=25,"Frontier",IF(K2&gt;=19,"Critical",IF(K2&gt;=13,"High",IF(K2&gt;=7,"Moderate","Low"))))</x:f>
        <x:v>Low</x:v>
      </x:c>
      <x:c r="M148" t="str">
        <x:f>IF(L2="Frontier","Board-Level Review",IF(L2="Critical","Executive Governance Board",IF(L2="High","Executive Owner",IF(L2="Moderate","Business Owner","Team Owner"))))</x:f>
        <x:v>Team Owner</x:v>
      </x:c>
    </x:row>
    <x:row r="149">
      <x:c r="K149" t="n">
        <x:f>SUM(C2:J2)</x:f>
        <x:v>4</x:v>
      </x:c>
      <x:c r="L149" t="str">
        <x:f>IF(K2&gt;=25,"Frontier",IF(K2&gt;=19,"Critical",IF(K2&gt;=13,"High",IF(K2&gt;=7,"Moderate","Low"))))</x:f>
        <x:v>Low</x:v>
      </x:c>
      <x:c r="M149" t="str">
        <x:f>IF(L2="Frontier","Board-Level Review",IF(L2="Critical","Executive Governance Board",IF(L2="High","Executive Owner",IF(L2="Moderate","Business Owner","Team Owner"))))</x:f>
        <x:v>Team Owner</x:v>
      </x:c>
    </x:row>
    <x:row r="150">
      <x:c r="K150" t="n">
        <x:f>SUM(C2:J2)</x:f>
        <x:v>4</x:v>
      </x:c>
      <x:c r="L150" t="str">
        <x:f>IF(K2&gt;=25,"Frontier",IF(K2&gt;=19,"Critical",IF(K2&gt;=13,"High",IF(K2&gt;=7,"Moderate","Low"))))</x:f>
        <x:v>Low</x:v>
      </x:c>
      <x:c r="M150" t="str">
        <x:f>IF(L2="Frontier","Board-Level Review",IF(L2="Critical","Executive Governance Board",IF(L2="High","Executive Owner",IF(L2="Moderate","Business Owner","Team Owner"))))</x:f>
        <x:v>Team Owner</x:v>
      </x:c>
    </x:row>
    <x:row r="151">
      <x:c r="K151" t="n">
        <x:f>SUM(C2:J2)</x:f>
        <x:v>4</x:v>
      </x:c>
      <x:c r="L151" t="str">
        <x:f>IF(K2&gt;=25,"Frontier",IF(K2&gt;=19,"Critical",IF(K2&gt;=13,"High",IF(K2&gt;=7,"Moderate","Low"))))</x:f>
        <x:v>Low</x:v>
      </x:c>
      <x:c r="M151" t="str">
        <x:f>IF(L2="Frontier","Board-Level Review",IF(L2="Critical","Executive Governance Board",IF(L2="High","Executive Owner",IF(L2="Moderate","Business Owner","Team Owner"))))</x:f>
        <x:v>Team Owner</x:v>
      </x:c>
    </x:row>
    <x:row r="152">
      <x:c r="K152" t="n">
        <x:f>SUM(C2:J2)</x:f>
        <x:v>4</x:v>
      </x:c>
      <x:c r="L152" t="str">
        <x:f>IF(K2&gt;=25,"Frontier",IF(K2&gt;=19,"Critical",IF(K2&gt;=13,"High",IF(K2&gt;=7,"Moderate","Low"))))</x:f>
        <x:v>Low</x:v>
      </x:c>
      <x:c r="M152" t="str">
        <x:f>IF(L2="Frontier","Board-Level Review",IF(L2="Critical","Executive Governance Board",IF(L2="High","Executive Owner",IF(L2="Moderate","Business Owner","Team Owner"))))</x:f>
        <x:v>Team Owner</x:v>
      </x:c>
    </x:row>
    <x:row r="153">
      <x:c r="K153" t="n">
        <x:f>SUM(C2:J2)</x:f>
        <x:v>4</x:v>
      </x:c>
      <x:c r="L153" t="str">
        <x:f>IF(K2&gt;=25,"Frontier",IF(K2&gt;=19,"Critical",IF(K2&gt;=13,"High",IF(K2&gt;=7,"Moderate","Low"))))</x:f>
        <x:v>Low</x:v>
      </x:c>
      <x:c r="M153" t="str">
        <x:f>IF(L2="Frontier","Board-Level Review",IF(L2="Critical","Executive Governance Board",IF(L2="High","Executive Owner",IF(L2="Moderate","Business Owner","Team Owner"))))</x:f>
        <x:v>Team Owner</x:v>
      </x:c>
    </x:row>
    <x:row r="154">
      <x:c r="K154" t="n">
        <x:f>SUM(C2:J2)</x:f>
        <x:v>4</x:v>
      </x:c>
      <x:c r="L154" t="str">
        <x:f>IF(K2&gt;=25,"Frontier",IF(K2&gt;=19,"Critical",IF(K2&gt;=13,"High",IF(K2&gt;=7,"Moderate","Low"))))</x:f>
        <x:v>Low</x:v>
      </x:c>
      <x:c r="M154" t="str">
        <x:f>IF(L2="Frontier","Board-Level Review",IF(L2="Critical","Executive Governance Board",IF(L2="High","Executive Owner",IF(L2="Moderate","Business Owner","Team Owner"))))</x:f>
        <x:v>Team Owner</x:v>
      </x:c>
    </x:row>
    <x:row r="155">
      <x:c r="K155" t="n">
        <x:f>SUM(C2:J2)</x:f>
        <x:v>4</x:v>
      </x:c>
      <x:c r="L155" t="str">
        <x:f>IF(K2&gt;=25,"Frontier",IF(K2&gt;=19,"Critical",IF(K2&gt;=13,"High",IF(K2&gt;=7,"Moderate","Low"))))</x:f>
        <x:v>Low</x:v>
      </x:c>
      <x:c r="M155" t="str">
        <x:f>IF(L2="Frontier","Board-Level Review",IF(L2="Critical","Executive Governance Board",IF(L2="High","Executive Owner",IF(L2="Moderate","Business Owner","Team Owner"))))</x:f>
        <x:v>Team Owner</x:v>
      </x:c>
    </x:row>
    <x:row r="156">
      <x:c r="K156" t="n">
        <x:f>SUM(C2:J2)</x:f>
        <x:v>4</x:v>
      </x:c>
      <x:c r="L156" t="str">
        <x:f>IF(K2&gt;=25,"Frontier",IF(K2&gt;=19,"Critical",IF(K2&gt;=13,"High",IF(K2&gt;=7,"Moderate","Low"))))</x:f>
        <x:v>Low</x:v>
      </x:c>
      <x:c r="M156" t="str">
        <x:f>IF(L2="Frontier","Board-Level Review",IF(L2="Critical","Executive Governance Board",IF(L2="High","Executive Owner",IF(L2="Moderate","Business Owner","Team Owner"))))</x:f>
        <x:v>Team Owner</x:v>
      </x:c>
    </x:row>
    <x:row r="157">
      <x:c r="K157" t="n">
        <x:f>SUM(C2:J2)</x:f>
        <x:v>4</x:v>
      </x:c>
      <x:c r="L157" t="str">
        <x:f>IF(K2&gt;=25,"Frontier",IF(K2&gt;=19,"Critical",IF(K2&gt;=13,"High",IF(K2&gt;=7,"Moderate","Low"))))</x:f>
        <x:v>Low</x:v>
      </x:c>
      <x:c r="M157" t="str">
        <x:f>IF(L2="Frontier","Board-Level Review",IF(L2="Critical","Executive Governance Board",IF(L2="High","Executive Owner",IF(L2="Moderate","Business Owner","Team Owner"))))</x:f>
        <x:v>Team Owner</x:v>
      </x:c>
    </x:row>
    <x:row r="158">
      <x:c r="K158" t="n">
        <x:f>SUM(C2:J2)</x:f>
        <x:v>4</x:v>
      </x:c>
      <x:c r="L158" t="str">
        <x:f>IF(K2&gt;=25,"Frontier",IF(K2&gt;=19,"Critical",IF(K2&gt;=13,"High",IF(K2&gt;=7,"Moderate","Low"))))</x:f>
        <x:v>Low</x:v>
      </x:c>
      <x:c r="M158" t="str">
        <x:f>IF(L2="Frontier","Board-Level Review",IF(L2="Critical","Executive Governance Board",IF(L2="High","Executive Owner",IF(L2="Moderate","Business Owner","Team Owner"))))</x:f>
        <x:v>Team Owner</x:v>
      </x:c>
    </x:row>
    <x:row r="159">
      <x:c r="K159" t="n">
        <x:f>SUM(C2:J2)</x:f>
        <x:v>4</x:v>
      </x:c>
      <x:c r="L159" t="str">
        <x:f>IF(K2&gt;=25,"Frontier",IF(K2&gt;=19,"Critical",IF(K2&gt;=13,"High",IF(K2&gt;=7,"Moderate","Low"))))</x:f>
        <x:v>Low</x:v>
      </x:c>
      <x:c r="M159" t="str">
        <x:f>IF(L2="Frontier","Board-Level Review",IF(L2="Critical","Executive Governance Board",IF(L2="High","Executive Owner",IF(L2="Moderate","Business Owner","Team Owner"))))</x:f>
        <x:v>Team Owner</x:v>
      </x:c>
    </x:row>
    <x:row r="160">
      <x:c r="K160" t="n">
        <x:f>SUM(C2:J2)</x:f>
        <x:v>4</x:v>
      </x:c>
      <x:c r="L160" t="str">
        <x:f>IF(K2&gt;=25,"Frontier",IF(K2&gt;=19,"Critical",IF(K2&gt;=13,"High",IF(K2&gt;=7,"Moderate","Low"))))</x:f>
        <x:v>Low</x:v>
      </x:c>
      <x:c r="M160" t="str">
        <x:f>IF(L2="Frontier","Board-Level Review",IF(L2="Critical","Executive Governance Board",IF(L2="High","Executive Owner",IF(L2="Moderate","Business Owner","Team Owner"))))</x:f>
        <x:v>Team Owner</x:v>
      </x:c>
    </x:row>
    <x:row r="161">
      <x:c r="K161" t="n">
        <x:f>SUM(C2:J2)</x:f>
        <x:v>4</x:v>
      </x:c>
      <x:c r="L161" t="str">
        <x:f>IF(K2&gt;=25,"Frontier",IF(K2&gt;=19,"Critical",IF(K2&gt;=13,"High",IF(K2&gt;=7,"Moderate","Low"))))</x:f>
        <x:v>Low</x:v>
      </x:c>
      <x:c r="M161" t="str">
        <x:f>IF(L2="Frontier","Board-Level Review",IF(L2="Critical","Executive Governance Board",IF(L2="High","Executive Owner",IF(L2="Moderate","Business Owner","Team Owner"))))</x:f>
        <x:v>Team Owner</x:v>
      </x:c>
    </x:row>
    <x:row r="162">
      <x:c r="K162" t="n">
        <x:f>SUM(C2:J2)</x:f>
        <x:v>4</x:v>
      </x:c>
      <x:c r="L162" t="str">
        <x:f>IF(K2&gt;=25,"Frontier",IF(K2&gt;=19,"Critical",IF(K2&gt;=13,"High",IF(K2&gt;=7,"Moderate","Low"))))</x:f>
        <x:v>Low</x:v>
      </x:c>
      <x:c r="M162" t="str">
        <x:f>IF(L2="Frontier","Board-Level Review",IF(L2="Critical","Executive Governance Board",IF(L2="High","Executive Owner",IF(L2="Moderate","Business Owner","Team Owner"))))</x:f>
        <x:v>Team Owner</x:v>
      </x:c>
    </x:row>
    <x:row r="163">
      <x:c r="K163" t="n">
        <x:f>SUM(C2:J2)</x:f>
        <x:v>4</x:v>
      </x:c>
      <x:c r="L163" t="str">
        <x:f>IF(K2&gt;=25,"Frontier",IF(K2&gt;=19,"Critical",IF(K2&gt;=13,"High",IF(K2&gt;=7,"Moderate","Low"))))</x:f>
        <x:v>Low</x:v>
      </x:c>
      <x:c r="M163" t="str">
        <x:f>IF(L2="Frontier","Board-Level Review",IF(L2="Critical","Executive Governance Board",IF(L2="High","Executive Owner",IF(L2="Moderate","Business Owner","Team Owner"))))</x:f>
        <x:v>Team Owner</x:v>
      </x:c>
    </x:row>
    <x:row r="164">
      <x:c r="K164" t="n">
        <x:f>SUM(C2:J2)</x:f>
        <x:v>4</x:v>
      </x:c>
      <x:c r="L164" t="str">
        <x:f>IF(K2&gt;=25,"Frontier",IF(K2&gt;=19,"Critical",IF(K2&gt;=13,"High",IF(K2&gt;=7,"Moderate","Low"))))</x:f>
        <x:v>Low</x:v>
      </x:c>
      <x:c r="M164" t="str">
        <x:f>IF(L2="Frontier","Board-Level Review",IF(L2="Critical","Executive Governance Board",IF(L2="High","Executive Owner",IF(L2="Moderate","Business Owner","Team Owner"))))</x:f>
        <x:v>Team Owner</x:v>
      </x:c>
    </x:row>
    <x:row r="165">
      <x:c r="K165" t="n">
        <x:f>SUM(C2:J2)</x:f>
        <x:v>4</x:v>
      </x:c>
      <x:c r="L165" t="str">
        <x:f>IF(K2&gt;=25,"Frontier",IF(K2&gt;=19,"Critical",IF(K2&gt;=13,"High",IF(K2&gt;=7,"Moderate","Low"))))</x:f>
        <x:v>Low</x:v>
      </x:c>
      <x:c r="M165" t="str">
        <x:f>IF(L2="Frontier","Board-Level Review",IF(L2="Critical","Executive Governance Board",IF(L2="High","Executive Owner",IF(L2="Moderate","Business Owner","Team Owner"))))</x:f>
        <x:v>Team Owner</x:v>
      </x:c>
    </x:row>
    <x:row r="166">
      <x:c r="K166" t="n">
        <x:f>SUM(C2:J2)</x:f>
        <x:v>4</x:v>
      </x:c>
      <x:c r="L166" t="str">
        <x:f>IF(K2&gt;=25,"Frontier",IF(K2&gt;=19,"Critical",IF(K2&gt;=13,"High",IF(K2&gt;=7,"Moderate","Low"))))</x:f>
        <x:v>Low</x:v>
      </x:c>
      <x:c r="M166" t="str">
        <x:f>IF(L2="Frontier","Board-Level Review",IF(L2="Critical","Executive Governance Board",IF(L2="High","Executive Owner",IF(L2="Moderate","Business Owner","Team Owner"))))</x:f>
        <x:v>Team Owner</x:v>
      </x:c>
    </x:row>
    <x:row r="167">
      <x:c r="K167" t="n">
        <x:f>SUM(C2:J2)</x:f>
        <x:v>4</x:v>
      </x:c>
      <x:c r="L167" t="str">
        <x:f>IF(K2&gt;=25,"Frontier",IF(K2&gt;=19,"Critical",IF(K2&gt;=13,"High",IF(K2&gt;=7,"Moderate","Low"))))</x:f>
        <x:v>Low</x:v>
      </x:c>
      <x:c r="M167" t="str">
        <x:f>IF(L2="Frontier","Board-Level Review",IF(L2="Critical","Executive Governance Board",IF(L2="High","Executive Owner",IF(L2="Moderate","Business Owner","Team Owner"))))</x:f>
        <x:v>Team Owner</x:v>
      </x:c>
    </x:row>
    <x:row r="168">
      <x:c r="K168" t="n">
        <x:f>SUM(C2:J2)</x:f>
        <x:v>4</x:v>
      </x:c>
      <x:c r="L168" t="str">
        <x:f>IF(K2&gt;=25,"Frontier",IF(K2&gt;=19,"Critical",IF(K2&gt;=13,"High",IF(K2&gt;=7,"Moderate","Low"))))</x:f>
        <x:v>Low</x:v>
      </x:c>
      <x:c r="M168" t="str">
        <x:f>IF(L2="Frontier","Board-Level Review",IF(L2="Critical","Executive Governance Board",IF(L2="High","Executive Owner",IF(L2="Moderate","Business Owner","Team Owner"))))</x:f>
        <x:v>Team Owner</x:v>
      </x:c>
    </x:row>
    <x:row r="169">
      <x:c r="K169" t="n">
        <x:f>SUM(C2:J2)</x:f>
        <x:v>4</x:v>
      </x:c>
      <x:c r="L169" t="str">
        <x:f>IF(K2&gt;=25,"Frontier",IF(K2&gt;=19,"Critical",IF(K2&gt;=13,"High",IF(K2&gt;=7,"Moderate","Low"))))</x:f>
        <x:v>Low</x:v>
      </x:c>
      <x:c r="M169" t="str">
        <x:f>IF(L2="Frontier","Board-Level Review",IF(L2="Critical","Executive Governance Board",IF(L2="High","Executive Owner",IF(L2="Moderate","Business Owner","Team Owner"))))</x:f>
        <x:v>Team Owner</x:v>
      </x:c>
    </x:row>
    <x:row r="170">
      <x:c r="K170" t="n">
        <x:f>SUM(C2:J2)</x:f>
        <x:v>4</x:v>
      </x:c>
      <x:c r="L170" t="str">
        <x:f>IF(K2&gt;=25,"Frontier",IF(K2&gt;=19,"Critical",IF(K2&gt;=13,"High",IF(K2&gt;=7,"Moderate","Low"))))</x:f>
        <x:v>Low</x:v>
      </x:c>
      <x:c r="M170" t="str">
        <x:f>IF(L2="Frontier","Board-Level Review",IF(L2="Critical","Executive Governance Board",IF(L2="High","Executive Owner",IF(L2="Moderate","Business Owner","Team Owner"))))</x:f>
        <x:v>Team Owner</x:v>
      </x:c>
    </x:row>
    <x:row r="171">
      <x:c r="K171" t="n">
        <x:f>SUM(C2:J2)</x:f>
        <x:v>4</x:v>
      </x:c>
      <x:c r="L171" t="str">
        <x:f>IF(K2&gt;=25,"Frontier",IF(K2&gt;=19,"Critical",IF(K2&gt;=13,"High",IF(K2&gt;=7,"Moderate","Low"))))</x:f>
        <x:v>Low</x:v>
      </x:c>
      <x:c r="M171" t="str">
        <x:f>IF(L2="Frontier","Board-Level Review",IF(L2="Critical","Executive Governance Board",IF(L2="High","Executive Owner",IF(L2="Moderate","Business Owner","Team Owner"))))</x:f>
        <x:v>Team Owner</x:v>
      </x:c>
    </x:row>
    <x:row r="172">
      <x:c r="K172" t="n">
        <x:f>SUM(C2:J2)</x:f>
        <x:v>4</x:v>
      </x:c>
      <x:c r="L172" t="str">
        <x:f>IF(K2&gt;=25,"Frontier",IF(K2&gt;=19,"Critical",IF(K2&gt;=13,"High",IF(K2&gt;=7,"Moderate","Low"))))</x:f>
        <x:v>Low</x:v>
      </x:c>
      <x:c r="M172" t="str">
        <x:f>IF(L2="Frontier","Board-Level Review",IF(L2="Critical","Executive Governance Board",IF(L2="High","Executive Owner",IF(L2="Moderate","Business Owner","Team Owner"))))</x:f>
        <x:v>Team Owner</x:v>
      </x:c>
    </x:row>
    <x:row r="173">
      <x:c r="K173" t="n">
        <x:f>SUM(C2:J2)</x:f>
        <x:v>4</x:v>
      </x:c>
      <x:c r="L173" t="str">
        <x:f>IF(K2&gt;=25,"Frontier",IF(K2&gt;=19,"Critical",IF(K2&gt;=13,"High",IF(K2&gt;=7,"Moderate","Low"))))</x:f>
        <x:v>Low</x:v>
      </x:c>
      <x:c r="M173" t="str">
        <x:f>IF(L2="Frontier","Board-Level Review",IF(L2="Critical","Executive Governance Board",IF(L2="High","Executive Owner",IF(L2="Moderate","Business Owner","Team Owner"))))</x:f>
        <x:v>Team Owner</x:v>
      </x:c>
    </x:row>
    <x:row r="174">
      <x:c r="K174" t="n">
        <x:f>SUM(C2:J2)</x:f>
        <x:v>4</x:v>
      </x:c>
      <x:c r="L174" t="str">
        <x:f>IF(K2&gt;=25,"Frontier",IF(K2&gt;=19,"Critical",IF(K2&gt;=13,"High",IF(K2&gt;=7,"Moderate","Low"))))</x:f>
        <x:v>Low</x:v>
      </x:c>
      <x:c r="M174" t="str">
        <x:f>IF(L2="Frontier","Board-Level Review",IF(L2="Critical","Executive Governance Board",IF(L2="High","Executive Owner",IF(L2="Moderate","Business Owner","Team Owner"))))</x:f>
        <x:v>Team Owner</x:v>
      </x:c>
    </x:row>
    <x:row r="175">
      <x:c r="K175" t="n">
        <x:f>SUM(C2:J2)</x:f>
        <x:v>4</x:v>
      </x:c>
      <x:c r="L175" t="str">
        <x:f>IF(K2&gt;=25,"Frontier",IF(K2&gt;=19,"Critical",IF(K2&gt;=13,"High",IF(K2&gt;=7,"Moderate","Low"))))</x:f>
        <x:v>Low</x:v>
      </x:c>
      <x:c r="M175" t="str">
        <x:f>IF(L2="Frontier","Board-Level Review",IF(L2="Critical","Executive Governance Board",IF(L2="High","Executive Owner",IF(L2="Moderate","Business Owner","Team Owner"))))</x:f>
        <x:v>Team Owner</x:v>
      </x:c>
    </x:row>
    <x:row r="176">
      <x:c r="K176" t="n">
        <x:f>SUM(C2:J2)</x:f>
        <x:v>4</x:v>
      </x:c>
      <x:c r="L176" t="str">
        <x:f>IF(K2&gt;=25,"Frontier",IF(K2&gt;=19,"Critical",IF(K2&gt;=13,"High",IF(K2&gt;=7,"Moderate","Low"))))</x:f>
        <x:v>Low</x:v>
      </x:c>
      <x:c r="M176" t="str">
        <x:f>IF(L2="Frontier","Board-Level Review",IF(L2="Critical","Executive Governance Board",IF(L2="High","Executive Owner",IF(L2="Moderate","Business Owner","Team Owner"))))</x:f>
        <x:v>Team Owner</x:v>
      </x:c>
    </x:row>
    <x:row r="177">
      <x:c r="K177" t="n">
        <x:f>SUM(C2:J2)</x:f>
        <x:v>4</x:v>
      </x:c>
      <x:c r="L177" t="str">
        <x:f>IF(K2&gt;=25,"Frontier",IF(K2&gt;=19,"Critical",IF(K2&gt;=13,"High",IF(K2&gt;=7,"Moderate","Low"))))</x:f>
        <x:v>Low</x:v>
      </x:c>
      <x:c r="M177" t="str">
        <x:f>IF(L2="Frontier","Board-Level Review",IF(L2="Critical","Executive Governance Board",IF(L2="High","Executive Owner",IF(L2="Moderate","Business Owner","Team Owner"))))</x:f>
        <x:v>Team Owner</x:v>
      </x:c>
    </x:row>
    <x:row r="178">
      <x:c r="K178" t="n">
        <x:f>SUM(C2:J2)</x:f>
        <x:v>4</x:v>
      </x:c>
      <x:c r="L178" t="str">
        <x:f>IF(K2&gt;=25,"Frontier",IF(K2&gt;=19,"Critical",IF(K2&gt;=13,"High",IF(K2&gt;=7,"Moderate","Low"))))</x:f>
        <x:v>Low</x:v>
      </x:c>
      <x:c r="M178" t="str">
        <x:f>IF(L2="Frontier","Board-Level Review",IF(L2="Critical","Executive Governance Board",IF(L2="High","Executive Owner",IF(L2="Moderate","Business Owner","Team Owner"))))</x:f>
        <x:v>Team Owner</x:v>
      </x:c>
    </x:row>
    <x:row r="179">
      <x:c r="K179" t="n">
        <x:f>SUM(C2:J2)</x:f>
        <x:v>4</x:v>
      </x:c>
      <x:c r="L179" t="str">
        <x:f>IF(K2&gt;=25,"Frontier",IF(K2&gt;=19,"Critical",IF(K2&gt;=13,"High",IF(K2&gt;=7,"Moderate","Low"))))</x:f>
        <x:v>Low</x:v>
      </x:c>
      <x:c r="M179" t="str">
        <x:f>IF(L2="Frontier","Board-Level Review",IF(L2="Critical","Executive Governance Board",IF(L2="High","Executive Owner",IF(L2="Moderate","Business Owner","Team Owner"))))</x:f>
        <x:v>Team Owner</x:v>
      </x:c>
    </x:row>
    <x:row r="180">
      <x:c r="K180" t="n">
        <x:f>SUM(C2:J2)</x:f>
        <x:v>4</x:v>
      </x:c>
      <x:c r="L180" t="str">
        <x:f>IF(K2&gt;=25,"Frontier",IF(K2&gt;=19,"Critical",IF(K2&gt;=13,"High",IF(K2&gt;=7,"Moderate","Low"))))</x:f>
        <x:v>Low</x:v>
      </x:c>
      <x:c r="M180" t="str">
        <x:f>IF(L2="Frontier","Board-Level Review",IF(L2="Critical","Executive Governance Board",IF(L2="High","Executive Owner",IF(L2="Moderate","Business Owner","Team Owner"))))</x:f>
        <x:v>Team Owner</x:v>
      </x:c>
    </x:row>
    <x:row r="181">
      <x:c r="K181" t="n">
        <x:f>SUM(C2:J2)</x:f>
        <x:v>4</x:v>
      </x:c>
      <x:c r="L181" t="str">
        <x:f>IF(K2&gt;=25,"Frontier",IF(K2&gt;=19,"Critical",IF(K2&gt;=13,"High",IF(K2&gt;=7,"Moderate","Low"))))</x:f>
        <x:v>Low</x:v>
      </x:c>
      <x:c r="M181" t="str">
        <x:f>IF(L2="Frontier","Board-Level Review",IF(L2="Critical","Executive Governance Board",IF(L2="High","Executive Owner",IF(L2="Moderate","Business Owner","Team Owner"))))</x:f>
        <x:v>Team Owner</x:v>
      </x:c>
    </x:row>
    <x:row r="182">
      <x:c r="K182" t="n">
        <x:f>SUM(C2:J2)</x:f>
        <x:v>4</x:v>
      </x:c>
      <x:c r="L182" t="str">
        <x:f>IF(K2&gt;=25,"Frontier",IF(K2&gt;=19,"Critical",IF(K2&gt;=13,"High",IF(K2&gt;=7,"Moderate","Low"))))</x:f>
        <x:v>Low</x:v>
      </x:c>
      <x:c r="M182" t="str">
        <x:f>IF(L2="Frontier","Board-Level Review",IF(L2="Critical","Executive Governance Board",IF(L2="High","Executive Owner",IF(L2="Moderate","Business Owner","Team Owner"))))</x:f>
        <x:v>Team Owner</x:v>
      </x:c>
    </x:row>
    <x:row r="183">
      <x:c r="K183" t="n">
        <x:f>SUM(C2:J2)</x:f>
        <x:v>4</x:v>
      </x:c>
      <x:c r="L183" t="str">
        <x:f>IF(K2&gt;=25,"Frontier",IF(K2&gt;=19,"Critical",IF(K2&gt;=13,"High",IF(K2&gt;=7,"Moderate","Low"))))</x:f>
        <x:v>Low</x:v>
      </x:c>
      <x:c r="M183" t="str">
        <x:f>IF(L2="Frontier","Board-Level Review",IF(L2="Critical","Executive Governance Board",IF(L2="High","Executive Owner",IF(L2="Moderate","Business Owner","Team Owner"))))</x:f>
        <x:v>Team Owner</x:v>
      </x:c>
    </x:row>
    <x:row r="184">
      <x:c r="K184" t="n">
        <x:f>SUM(C2:J2)</x:f>
        <x:v>4</x:v>
      </x:c>
      <x:c r="L184" t="str">
        <x:f>IF(K2&gt;=25,"Frontier",IF(K2&gt;=19,"Critical",IF(K2&gt;=13,"High",IF(K2&gt;=7,"Moderate","Low"))))</x:f>
        <x:v>Low</x:v>
      </x:c>
      <x:c r="M184" t="str">
        <x:f>IF(L2="Frontier","Board-Level Review",IF(L2="Critical","Executive Governance Board",IF(L2="High","Executive Owner",IF(L2="Moderate","Business Owner","Team Owner"))))</x:f>
        <x:v>Team Owner</x:v>
      </x:c>
    </x:row>
    <x:row r="185">
      <x:c r="K185" t="n">
        <x:f>SUM(C2:J2)</x:f>
        <x:v>4</x:v>
      </x:c>
      <x:c r="L185" t="str">
        <x:f>IF(K2&gt;=25,"Frontier",IF(K2&gt;=19,"Critical",IF(K2&gt;=13,"High",IF(K2&gt;=7,"Moderate","Low"))))</x:f>
        <x:v>Low</x:v>
      </x:c>
      <x:c r="M185" t="str">
        <x:f>IF(L2="Frontier","Board-Level Review",IF(L2="Critical","Executive Governance Board",IF(L2="High","Executive Owner",IF(L2="Moderate","Business Owner","Team Owner"))))</x:f>
        <x:v>Team Owner</x:v>
      </x:c>
    </x:row>
    <x:row r="186">
      <x:c r="K186" t="n">
        <x:f>SUM(C2:J2)</x:f>
        <x:v>4</x:v>
      </x:c>
      <x:c r="L186" t="str">
        <x:f>IF(K2&gt;=25,"Frontier",IF(K2&gt;=19,"Critical",IF(K2&gt;=13,"High",IF(K2&gt;=7,"Moderate","Low"))))</x:f>
        <x:v>Low</x:v>
      </x:c>
      <x:c r="M186" t="str">
        <x:f>IF(L2="Frontier","Board-Level Review",IF(L2="Critical","Executive Governance Board",IF(L2="High","Executive Owner",IF(L2="Moderate","Business Owner","Team Owner"))))</x:f>
        <x:v>Team Owner</x:v>
      </x:c>
    </x:row>
    <x:row r="187">
      <x:c r="K187" t="n">
        <x:f>SUM(C2:J2)</x:f>
        <x:v>4</x:v>
      </x:c>
      <x:c r="L187" t="str">
        <x:f>IF(K2&gt;=25,"Frontier",IF(K2&gt;=19,"Critical",IF(K2&gt;=13,"High",IF(K2&gt;=7,"Moderate","Low"))))</x:f>
        <x:v>Low</x:v>
      </x:c>
      <x:c r="M187" t="str">
        <x:f>IF(L2="Frontier","Board-Level Review",IF(L2="Critical","Executive Governance Board",IF(L2="High","Executive Owner",IF(L2="Moderate","Business Owner","Team Owner"))))</x:f>
        <x:v>Team Owner</x:v>
      </x:c>
    </x:row>
    <x:row r="188">
      <x:c r="K188" t="n">
        <x:f>SUM(C2:J2)</x:f>
        <x:v>4</x:v>
      </x:c>
      <x:c r="L188" t="str">
        <x:f>IF(K2&gt;=25,"Frontier",IF(K2&gt;=19,"Critical",IF(K2&gt;=13,"High",IF(K2&gt;=7,"Moderate","Low"))))</x:f>
        <x:v>Low</x:v>
      </x:c>
      <x:c r="M188" t="str">
        <x:f>IF(L2="Frontier","Board-Level Review",IF(L2="Critical","Executive Governance Board",IF(L2="High","Executive Owner",IF(L2="Moderate","Business Owner","Team Owner"))))</x:f>
        <x:v>Team Owner</x:v>
      </x:c>
    </x:row>
    <x:row r="189">
      <x:c r="K189" t="n">
        <x:f>SUM(C2:J2)</x:f>
        <x:v>4</x:v>
      </x:c>
      <x:c r="L189" t="str">
        <x:f>IF(K2&gt;=25,"Frontier",IF(K2&gt;=19,"Critical",IF(K2&gt;=13,"High",IF(K2&gt;=7,"Moderate","Low"))))</x:f>
        <x:v>Low</x:v>
      </x:c>
      <x:c r="M189" t="str">
        <x:f>IF(L2="Frontier","Board-Level Review",IF(L2="Critical","Executive Governance Board",IF(L2="High","Executive Owner",IF(L2="Moderate","Business Owner","Team Owner"))))</x:f>
        <x:v>Team Owner</x:v>
      </x:c>
    </x:row>
    <x:row r="190">
      <x:c r="K190" t="n">
        <x:f>SUM(C2:J2)</x:f>
        <x:v>4</x:v>
      </x:c>
      <x:c r="L190" t="str">
        <x:f>IF(K2&gt;=25,"Frontier",IF(K2&gt;=19,"Critical",IF(K2&gt;=13,"High",IF(K2&gt;=7,"Moderate","Low"))))</x:f>
        <x:v>Low</x:v>
      </x:c>
      <x:c r="M190" t="str">
        <x:f>IF(L2="Frontier","Board-Level Review",IF(L2="Critical","Executive Governance Board",IF(L2="High","Executive Owner",IF(L2="Moderate","Business Owner","Team Owner"))))</x:f>
        <x:v>Team Owner</x:v>
      </x:c>
    </x:row>
    <x:row r="191">
      <x:c r="K191" t="n">
        <x:f>SUM(C2:J2)</x:f>
        <x:v>4</x:v>
      </x:c>
      <x:c r="L191" t="str">
        <x:f>IF(K2&gt;=25,"Frontier",IF(K2&gt;=19,"Critical",IF(K2&gt;=13,"High",IF(K2&gt;=7,"Moderate","Low"))))</x:f>
        <x:v>Low</x:v>
      </x:c>
      <x:c r="M191" t="str">
        <x:f>IF(L2="Frontier","Board-Level Review",IF(L2="Critical","Executive Governance Board",IF(L2="High","Executive Owner",IF(L2="Moderate","Business Owner","Team Owner"))))</x:f>
        <x:v>Team Owner</x:v>
      </x:c>
    </x:row>
    <x:row r="192">
      <x:c r="K192" t="n">
        <x:f>SUM(C2:J2)</x:f>
        <x:v>4</x:v>
      </x:c>
      <x:c r="L192" t="str">
        <x:f>IF(K2&gt;=25,"Frontier",IF(K2&gt;=19,"Critical",IF(K2&gt;=13,"High",IF(K2&gt;=7,"Moderate","Low"))))</x:f>
        <x:v>Low</x:v>
      </x:c>
      <x:c r="M192" t="str">
        <x:f>IF(L2="Frontier","Board-Level Review",IF(L2="Critical","Executive Governance Board",IF(L2="High","Executive Owner",IF(L2="Moderate","Business Owner","Team Owner"))))</x:f>
        <x:v>Team Owner</x:v>
      </x:c>
    </x:row>
    <x:row r="193">
      <x:c r="K193" t="n">
        <x:f>SUM(C2:J2)</x:f>
        <x:v>4</x:v>
      </x:c>
      <x:c r="L193" t="str">
        <x:f>IF(K2&gt;=25,"Frontier",IF(K2&gt;=19,"Critical",IF(K2&gt;=13,"High",IF(K2&gt;=7,"Moderate","Low"))))</x:f>
        <x:v>Low</x:v>
      </x:c>
      <x:c r="M193" t="str">
        <x:f>IF(L2="Frontier","Board-Level Review",IF(L2="Critical","Executive Governance Board",IF(L2="High","Executive Owner",IF(L2="Moderate","Business Owner","Team Owner"))))</x:f>
        <x:v>Team Owner</x:v>
      </x:c>
    </x:row>
    <x:row r="194">
      <x:c r="K194" t="n">
        <x:f>SUM(C2:J2)</x:f>
        <x:v>4</x:v>
      </x:c>
      <x:c r="L194" t="str">
        <x:f>IF(K2&gt;=25,"Frontier",IF(K2&gt;=19,"Critical",IF(K2&gt;=13,"High",IF(K2&gt;=7,"Moderate","Low"))))</x:f>
        <x:v>Low</x:v>
      </x:c>
      <x:c r="M194" t="str">
        <x:f>IF(L2="Frontier","Board-Level Review",IF(L2="Critical","Executive Governance Board",IF(L2="High","Executive Owner",IF(L2="Moderate","Business Owner","Team Owner"))))</x:f>
        <x:v>Team Owner</x:v>
      </x:c>
    </x:row>
    <x:row r="195">
      <x:c r="K195" t="n">
        <x:f>SUM(C2:J2)</x:f>
        <x:v>4</x:v>
      </x:c>
      <x:c r="L195" t="str">
        <x:f>IF(K2&gt;=25,"Frontier",IF(K2&gt;=19,"Critical",IF(K2&gt;=13,"High",IF(K2&gt;=7,"Moderate","Low"))))</x:f>
        <x:v>Low</x:v>
      </x:c>
      <x:c r="M195" t="str">
        <x:f>IF(L2="Frontier","Board-Level Review",IF(L2="Critical","Executive Governance Board",IF(L2="High","Executive Owner",IF(L2="Moderate","Business Owner","Team Owner"))))</x:f>
        <x:v>Team Owner</x:v>
      </x:c>
    </x:row>
    <x:row r="196">
      <x:c r="K196" t="n">
        <x:f>SUM(C2:J2)</x:f>
        <x:v>4</x:v>
      </x:c>
      <x:c r="L196" t="str">
        <x:f>IF(K2&gt;=25,"Frontier",IF(K2&gt;=19,"Critical",IF(K2&gt;=13,"High",IF(K2&gt;=7,"Moderate","Low"))))</x:f>
        <x:v>Low</x:v>
      </x:c>
      <x:c r="M196" t="str">
        <x:f>IF(L2="Frontier","Board-Level Review",IF(L2="Critical","Executive Governance Board",IF(L2="High","Executive Owner",IF(L2="Moderate","Business Owner","Team Owner"))))</x:f>
        <x:v>Team Owner</x:v>
      </x:c>
    </x:row>
    <x:row r="197">
      <x:c r="K197" t="n">
        <x:f>SUM(C2:J2)</x:f>
        <x:v>4</x:v>
      </x:c>
      <x:c r="L197" t="str">
        <x:f>IF(K2&gt;=25,"Frontier",IF(K2&gt;=19,"Critical",IF(K2&gt;=13,"High",IF(K2&gt;=7,"Moderate","Low"))))</x:f>
        <x:v>Low</x:v>
      </x:c>
      <x:c r="M197" t="str">
        <x:f>IF(L2="Frontier","Board-Level Review",IF(L2="Critical","Executive Governance Board",IF(L2="High","Executive Owner",IF(L2="Moderate","Business Owner","Team Owner"))))</x:f>
        <x:v>Team Owner</x:v>
      </x:c>
    </x:row>
    <x:row r="198">
      <x:c r="K198" t="n">
        <x:f>SUM(C2:J2)</x:f>
        <x:v>4</x:v>
      </x:c>
      <x:c r="L198" t="str">
        <x:f>IF(K2&gt;=25,"Frontier",IF(K2&gt;=19,"Critical",IF(K2&gt;=13,"High",IF(K2&gt;=7,"Moderate","Low"))))</x:f>
        <x:v>Low</x:v>
      </x:c>
      <x:c r="M198" t="str">
        <x:f>IF(L2="Frontier","Board-Level Review",IF(L2="Critical","Executive Governance Board",IF(L2="High","Executive Owner",IF(L2="Moderate","Business Owner","Team Owner"))))</x:f>
        <x:v>Team Owner</x:v>
      </x:c>
    </x:row>
    <x:row r="199">
      <x:c r="K199" t="n">
        <x:f>SUM(C2:J2)</x:f>
        <x:v>4</x:v>
      </x:c>
      <x:c r="L199" t="str">
        <x:f>IF(K2&gt;=25,"Frontier",IF(K2&gt;=19,"Critical",IF(K2&gt;=13,"High",IF(K2&gt;=7,"Moderate","Low"))))</x:f>
        <x:v>Low</x:v>
      </x:c>
      <x:c r="M199" t="str">
        <x:f>IF(L2="Frontier","Board-Level Review",IF(L2="Critical","Executive Governance Board",IF(L2="High","Executive Owner",IF(L2="Moderate","Business Owner","Team Owner"))))</x:f>
        <x:v>Team Owner</x:v>
      </x:c>
    </x:row>
    <x:row r="200">
      <x:c r="K200" t="n">
        <x:f>SUM(C2:J2)</x:f>
        <x:v>4</x:v>
      </x:c>
      <x:c r="L200" t="str">
        <x:f>IF(K2&gt;=25,"Frontier",IF(K2&gt;=19,"Critical",IF(K2&gt;=13,"High",IF(K2&gt;=7,"Moderate","Low"))))</x:f>
        <x:v>Low</x:v>
      </x:c>
      <x:c r="M200" t="str">
        <x:f>IF(L2="Frontier","Board-Level Review",IF(L2="Critical","Executive Governance Board",IF(L2="High","Executive Owner",IF(L2="Moderate","Business Owner","Team Owner"))))</x:f>
        <x:v>Team Owner</x:v>
      </x:c>
    </x:row>
  </x:sheetData>
  <x:conditionalFormatting sqref="L2:L200">
    <x:cfRule type="expression" dxfId="0" priority="1">
      <x:formula>L2="Frontier"</x:formula>
    </x:cfRule>
    <x:cfRule type="expression" dxfId="1" priority="2">
      <x:formula>L2="Critical"</x:formula>
    </x:cfRule>
  </x:conditionalFormatting>
  <x:dataValidations count="1">
    <x:dataValidation type="list" sqref="C2:J200">
      <x:formula1>Lists!$E$2:$E$6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2c84e7fdce4b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5" hidden="0" customWidth="1"/>
    <x:col min="4" max="4" width="16" hidden="0" customWidth="1"/>
    <x:col min="5" max="5" width="12" hidden="0" customWidth="1"/>
    <x:col min="6" max="6" width="35" hidden="0" customWidth="1"/>
    <x:col min="7" max="7" width="18" hidden="0" customWidth="1"/>
    <x:col min="8" max="8" width="14" hidden="0" customWidth="1"/>
  </x:cols>
  <x:sheetData>
    <x:row r="1" ht="30" customHeight="1">
      <x:c r="A1" s="6" t="str">
        <x:v>System ID</x:v>
      </x:c>
      <x:c r="B1" s="6" t="str">
        <x:v>Gate</x:v>
      </x:c>
      <x:c r="C1" s="6" t="str">
        <x:v>Control Item</x:v>
      </x:c>
      <x:c r="D1" s="6" t="str">
        <x:v>Required For</x:v>
      </x:c>
      <x:c r="E1" s="6" t="str">
        <x:v>Complete?</x:v>
      </x:c>
      <x:c r="F1" s="6" t="str">
        <x:v>Evidence Link / Notes</x:v>
      </x:c>
      <x:c r="G1" s="6" t="str">
        <x:v>Owner</x:v>
      </x:c>
      <x:c r="H1" s="6" t="str">
        <x:v>Due Date</x:v>
      </x:c>
    </x:row>
    <x:row r="2">
      <x:c r="A2" t="str">
        <x:v>AI-001</x:v>
      </x:c>
      <x:c r="B2" t="str">
        <x:v>Discovery</x:v>
      </x:c>
      <x:c r="C2" t="str">
        <x:v>System inventory complete</x:v>
      </x:c>
      <x:c r="D2" t="str">
        <x:v>All</x:v>
      </x:c>
      <x:c r="E2" t="str">
        <x:v>Yes</x:v>
      </x:c>
      <x:c r="F2" t="str"/>
      <x:c r="G2" t="str">
        <x:v>HR Ops</x:v>
      </x:c>
      <x:c r="H2" t="str">
        <x:v>2026-06-15</x:v>
      </x:c>
    </x:row>
    <x:row r="3">
      <x:c r="A3" t="str">
        <x:v>AI-001</x:v>
      </x:c>
      <x:c r="B3" t="str">
        <x:v>Ownership</x:v>
      </x:c>
      <x:c r="C3" t="str">
        <x:v>Named human owner assigned</x:v>
      </x:c>
      <x:c r="D3" t="str">
        <x:v>All</x:v>
      </x:c>
      <x:c r="E3" t="str">
        <x:v>Yes</x:v>
      </x:c>
      <x:c r="F3" t="str"/>
      <x:c r="G3" t="str">
        <x:v>HR Ops</x:v>
      </x:c>
      <x:c r="H3" t="str">
        <x:v>2026-06-15</x:v>
      </x:c>
    </x:row>
    <x:row r="4">
      <x:c r="A4" t="str">
        <x:v>AI-001</x:v>
      </x:c>
      <x:c r="B4" t="str">
        <x:v>Risk</x:v>
      </x:c>
      <x:c r="C4" t="str">
        <x:v>Risk tier approved</x:v>
      </x:c>
      <x:c r="D4" t="str">
        <x:v>All</x:v>
      </x:c>
      <x:c r="E4" t="str">
        <x:v>Yes</x:v>
      </x:c>
      <x:c r="F4" t="str"/>
      <x:c r="G4" t="str">
        <x:v>HR Ops</x:v>
      </x:c>
      <x:c r="H4" t="str">
        <x:v>2026-06-15</x:v>
      </x:c>
    </x:row>
    <x:row r="5">
      <x:c r="A5" t="str">
        <x:v>AI-001</x:v>
      </x:c>
      <x:c r="B5" t="str">
        <x:v>Evidence</x:v>
      </x:c>
      <x:c r="C5" t="str">
        <x:v>Testing completed</x:v>
      </x:c>
      <x:c r="D5" t="str">
        <x:v>All</x:v>
      </x:c>
      <x:c r="E5" t="str">
        <x:v>No</x:v>
      </x:c>
      <x:c r="F5" t="str">
        <x:v>Add pilot test results</x:v>
      </x:c>
      <x:c r="G5" t="str">
        <x:v>IT Apps</x:v>
      </x:c>
      <x:c r="H5" t="str">
        <x:v>2026-06-30</x:v>
      </x:c>
    </x:row>
    <x:row r="6">
      <x:c r="A6" t="str">
        <x:v>AI-001</x:v>
      </x:c>
      <x:c r="B6" t="str">
        <x:v>Controls</x:v>
      </x:c>
      <x:c r="C6" t="str">
        <x:v>Monitoring active</x:v>
      </x:c>
      <x:c r="D6" t="str">
        <x:v>All</x:v>
      </x:c>
      <x:c r="E6" t="str">
        <x:v>Yes</x:v>
      </x:c>
      <x:c r="F6" t="str"/>
      <x:c r="G6" t="str">
        <x:v>IT Apps</x:v>
      </x:c>
      <x:c r="H6" t="str">
        <x:v>2026-06-30</x:v>
      </x:c>
    </x:row>
    <x:row r="7">
      <x:c r="A7" t="str">
        <x:v>AI-001</x:v>
      </x:c>
      <x:c r="B7" t="str">
        <x:v>Shutdown</x:v>
      </x:c>
      <x:c r="C7" t="str">
        <x:v>Shutdown path tested</x:v>
      </x:c>
      <x:c r="D7" t="str">
        <x:v>All</x:v>
      </x:c>
      <x:c r="E7" t="str">
        <x:v>No</x:v>
      </x:c>
      <x:c r="F7" t="str">
        <x:v>Test before production</x:v>
      </x:c>
      <x:c r="G7" t="str">
        <x:v>IT Apps</x:v>
      </x:c>
      <x:c r="H7" t="str">
        <x:v>2026-06-30</x:v>
      </x:c>
    </x:row>
  </x:sheetData>
  <x:dataValidations count="1">
    <x:dataValidation type="list" sqref="E2:E200">
      <x:formula1>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4f2017405c40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28" hidden="0" customWidth="1"/>
    <x:col min="15" max="15" width="38" hidden="0" customWidth="1"/>
  </x:cols>
  <x:sheetData>
    <x:row r="1" ht="30" customHeight="1">
      <x:c r="A1" s="6" t="str">
        <x:v>Vendor</x:v>
      </x:c>
      <x:c r="B1" s="6" t="str">
        <x:v>Product</x:v>
      </x:c>
      <x:c r="C1" s="6" t="str">
        <x:v>Data Protection</x:v>
      </x:c>
      <x:c r="D1" s="6" t="str">
        <x:v>Security Controls</x:v>
      </x:c>
      <x:c r="E1" s="6" t="str">
        <x:v>Privacy Controls</x:v>
      </x:c>
      <x:c r="F1" s="6" t="str">
        <x:v>Auditability</x:v>
      </x:c>
      <x:c r="G1" s="6" t="str">
        <x:v>Model Update Transparency</x:v>
      </x:c>
      <x:c r="H1" s="6" t="str">
        <x:v>Incident Notification</x:v>
      </x:c>
      <x:c r="I1" s="6" t="str">
        <x:v>Subprocessor Transparency</x:v>
      </x:c>
      <x:c r="J1" s="6" t="str">
        <x:v>Termination Rights</x:v>
      </x:c>
      <x:c r="K1" s="6" t="str">
        <x:v>Liability/Accountability</x:v>
      </x:c>
      <x:c r="L1" s="6" t="str">
        <x:v>Shutdown Support</x:v>
      </x:c>
      <x:c r="M1" s="6" t="str">
        <x:v>Total Score</x:v>
      </x:c>
      <x:c r="N1" s="6" t="str">
        <x:v>Decision Band</x:v>
      </x:c>
      <x:c r="O1" s="6" t="str">
        <x:v>Notes</x:v>
      </x:c>
    </x:row>
    <x:row r="2">
      <x:c r="A2" t="str">
        <x:v>Example Vendor</x:v>
      </x:c>
      <x:c r="B2" t="str">
        <x:v>Example AI Product</x:v>
      </x:c>
      <x:c r="C2" t="n">
        <x:v>3</x:v>
      </x:c>
      <x:c r="D2" t="n">
        <x:v>3</x:v>
      </x:c>
      <x:c r="E2" t="n">
        <x:v>3</x:v>
      </x:c>
      <x:c r="F2" t="n">
        <x:v>2</x:v>
      </x:c>
      <x:c r="G2" t="n">
        <x:v>2</x:v>
      </x:c>
      <x:c r="H2" t="n">
        <x:v>3</x:v>
      </x:c>
      <x:c r="I2" t="n">
        <x:v>2</x:v>
      </x:c>
      <x:c r="J2" t="n">
        <x:v>3</x:v>
      </x:c>
      <x:c r="K2" t="n">
        <x:v>2</x:v>
      </x:c>
      <x:c r="L2" t="n">
        <x:v>2</x:v>
      </x:c>
      <x:c r="M2" t="n">
        <x:f>SUM(C2:L2)</x:f>
        <x:v>25</x:v>
      </x:c>
      <x:c r="N2" t="str">
        <x:f>IF(M2&gt;=34,"Strong",IF(M2&gt;=25,"Proceed with restrictions",IF(M2&gt;=15,"High concern; remediation required","Do not deploy")))</x:f>
        <x:v>Proceed with restrictions</x:v>
      </x:c>
      <x:c r="O2" t="str">
        <x:v>Proceed with restrictions until audit rights are strengthened</x:v>
      </x:c>
    </x:row>
    <x:row r="3">
      <x:c r="M3" t="n">
        <x:f>SUM(C2:L2)</x:f>
        <x:v>25</x:v>
      </x:c>
      <x:c r="N3" t="str">
        <x:f>IF(M2&gt;=34,"Strong",IF(M2&gt;=25,"Proceed with restrictions",IF(M2&gt;=15,"High concern; remediation required","Do not deploy")))</x:f>
        <x:v>Proceed with restrictions</x:v>
      </x:c>
    </x:row>
    <x:row r="4">
      <x:c r="M4" t="n">
        <x:f>SUM(C2:L2)</x:f>
        <x:v>25</x:v>
      </x:c>
      <x:c r="N4" t="str">
        <x:f>IF(M2&gt;=34,"Strong",IF(M2&gt;=25,"Proceed with restrictions",IF(M2&gt;=15,"High concern; remediation required","Do not deploy")))</x:f>
        <x:v>Proceed with restrictions</x:v>
      </x:c>
    </x:row>
    <x:row r="5">
      <x:c r="M5" t="n">
        <x:f>SUM(C2:L2)</x:f>
        <x:v>25</x:v>
      </x:c>
      <x:c r="N5" t="str">
        <x:f>IF(M2&gt;=34,"Strong",IF(M2&gt;=25,"Proceed with restrictions",IF(M2&gt;=15,"High concern; remediation required","Do not deploy")))</x:f>
        <x:v>Proceed with restrictions</x:v>
      </x:c>
    </x:row>
    <x:row r="6">
      <x:c r="M6" t="n">
        <x:f>SUM(C2:L2)</x:f>
        <x:v>25</x:v>
      </x:c>
      <x:c r="N6" t="str">
        <x:f>IF(M2&gt;=34,"Strong",IF(M2&gt;=25,"Proceed with restrictions",IF(M2&gt;=15,"High concern; remediation required","Do not deploy")))</x:f>
        <x:v>Proceed with restrictions</x:v>
      </x:c>
    </x:row>
    <x:row r="7">
      <x:c r="M7" t="n">
        <x:f>SUM(C2:L2)</x:f>
        <x:v>25</x:v>
      </x:c>
      <x:c r="N7" t="str">
        <x:f>IF(M2&gt;=34,"Strong",IF(M2&gt;=25,"Proceed with restrictions",IF(M2&gt;=15,"High concern; remediation required","Do not deploy")))</x:f>
        <x:v>Proceed with restrictions</x:v>
      </x:c>
    </x:row>
    <x:row r="8">
      <x:c r="M8" t="n">
        <x:f>SUM(C2:L2)</x:f>
        <x:v>25</x:v>
      </x:c>
      <x:c r="N8" t="str">
        <x:f>IF(M2&gt;=34,"Strong",IF(M2&gt;=25,"Proceed with restrictions",IF(M2&gt;=15,"High concern; remediation required","Do not deploy")))</x:f>
        <x:v>Proceed with restrictions</x:v>
      </x:c>
    </x:row>
    <x:row r="9">
      <x:c r="M9" t="n">
        <x:f>SUM(C2:L2)</x:f>
        <x:v>25</x:v>
      </x:c>
      <x:c r="N9" t="str">
        <x:f>IF(M2&gt;=34,"Strong",IF(M2&gt;=25,"Proceed with restrictions",IF(M2&gt;=15,"High concern; remediation required","Do not deploy")))</x:f>
        <x:v>Proceed with restrictions</x:v>
      </x:c>
    </x:row>
    <x:row r="10">
      <x:c r="M10" t="n">
        <x:f>SUM(C2:L2)</x:f>
        <x:v>25</x:v>
      </x:c>
      <x:c r="N10" t="str">
        <x:f>IF(M2&gt;=34,"Strong",IF(M2&gt;=25,"Proceed with restrictions",IF(M2&gt;=15,"High concern; remediation required","Do not deploy")))</x:f>
        <x:v>Proceed with restrictions</x:v>
      </x:c>
    </x:row>
    <x:row r="11">
      <x:c r="M11" t="n">
        <x:f>SUM(C2:L2)</x:f>
        <x:v>25</x:v>
      </x:c>
      <x:c r="N11" t="str">
        <x:f>IF(M2&gt;=34,"Strong",IF(M2&gt;=25,"Proceed with restrictions",IF(M2&gt;=15,"High concern; remediation required","Do not deploy")))</x:f>
        <x:v>Proceed with restrictions</x:v>
      </x:c>
    </x:row>
    <x:row r="12">
      <x:c r="M12" t="n">
        <x:f>SUM(C2:L2)</x:f>
        <x:v>25</x:v>
      </x:c>
      <x:c r="N12" t="str">
        <x:f>IF(M2&gt;=34,"Strong",IF(M2&gt;=25,"Proceed with restrictions",IF(M2&gt;=15,"High concern; remediation required","Do not deploy")))</x:f>
        <x:v>Proceed with restrictions</x:v>
      </x:c>
    </x:row>
    <x:row r="13">
      <x:c r="M13" t="n">
        <x:f>SUM(C2:L2)</x:f>
        <x:v>25</x:v>
      </x:c>
      <x:c r="N13" t="str">
        <x:f>IF(M2&gt;=34,"Strong",IF(M2&gt;=25,"Proceed with restrictions",IF(M2&gt;=15,"High concern; remediation required","Do not deploy")))</x:f>
        <x:v>Proceed with restrictions</x:v>
      </x:c>
    </x:row>
    <x:row r="14">
      <x:c r="M14" t="n">
        <x:f>SUM(C2:L2)</x:f>
        <x:v>25</x:v>
      </x:c>
      <x:c r="N14" t="str">
        <x:f>IF(M2&gt;=34,"Strong",IF(M2&gt;=25,"Proceed with restrictions",IF(M2&gt;=15,"High concern; remediation required","Do not deploy")))</x:f>
        <x:v>Proceed with restrictions</x:v>
      </x:c>
    </x:row>
    <x:row r="15">
      <x:c r="M15" t="n">
        <x:f>SUM(C2:L2)</x:f>
        <x:v>25</x:v>
      </x:c>
      <x:c r="N15" t="str">
        <x:f>IF(M2&gt;=34,"Strong",IF(M2&gt;=25,"Proceed with restrictions",IF(M2&gt;=15,"High concern; remediation required","Do not deploy")))</x:f>
        <x:v>Proceed with restrictions</x:v>
      </x:c>
    </x:row>
    <x:row r="16">
      <x:c r="M16" t="n">
        <x:f>SUM(C2:L2)</x:f>
        <x:v>25</x:v>
      </x:c>
      <x:c r="N16" t="str">
        <x:f>IF(M2&gt;=34,"Strong",IF(M2&gt;=25,"Proceed with restrictions",IF(M2&gt;=15,"High concern; remediation required","Do not deploy")))</x:f>
        <x:v>Proceed with restrictions</x:v>
      </x:c>
    </x:row>
    <x:row r="17">
      <x:c r="M17" t="n">
        <x:f>SUM(C2:L2)</x:f>
        <x:v>25</x:v>
      </x:c>
      <x:c r="N17" t="str">
        <x:f>IF(M2&gt;=34,"Strong",IF(M2&gt;=25,"Proceed with restrictions",IF(M2&gt;=15,"High concern; remediation required","Do not deploy")))</x:f>
        <x:v>Proceed with restrictions</x:v>
      </x:c>
    </x:row>
    <x:row r="18">
      <x:c r="M18" t="n">
        <x:f>SUM(C2:L2)</x:f>
        <x:v>25</x:v>
      </x:c>
      <x:c r="N18" t="str">
        <x:f>IF(M2&gt;=34,"Strong",IF(M2&gt;=25,"Proceed with restrictions",IF(M2&gt;=15,"High concern; remediation required","Do not deploy")))</x:f>
        <x:v>Proceed with restrictions</x:v>
      </x:c>
    </x:row>
    <x:row r="19">
      <x:c r="M19" t="n">
        <x:f>SUM(C2:L2)</x:f>
        <x:v>25</x:v>
      </x:c>
      <x:c r="N19" t="str">
        <x:f>IF(M2&gt;=34,"Strong",IF(M2&gt;=25,"Proceed with restrictions",IF(M2&gt;=15,"High concern; remediation required","Do not deploy")))</x:f>
        <x:v>Proceed with restrictions</x:v>
      </x:c>
    </x:row>
    <x:row r="20">
      <x:c r="M20" t="n">
        <x:f>SUM(C2:L2)</x:f>
        <x:v>25</x:v>
      </x:c>
      <x:c r="N20" t="str">
        <x:f>IF(M2&gt;=34,"Strong",IF(M2&gt;=25,"Proceed with restrictions",IF(M2&gt;=15,"High concern; remediation required","Do not deploy")))</x:f>
        <x:v>Proceed with restrictions</x:v>
      </x:c>
    </x:row>
    <x:row r="21">
      <x:c r="M21" t="n">
        <x:f>SUM(C2:L2)</x:f>
        <x:v>25</x:v>
      </x:c>
      <x:c r="N21" t="str">
        <x:f>IF(M2&gt;=34,"Strong",IF(M2&gt;=25,"Proceed with restrictions",IF(M2&gt;=15,"High concern; remediation required","Do not deploy")))</x:f>
        <x:v>Proceed with restrictions</x:v>
      </x:c>
    </x:row>
    <x:row r="22">
      <x:c r="M22" t="n">
        <x:f>SUM(C2:L2)</x:f>
        <x:v>25</x:v>
      </x:c>
      <x:c r="N22" t="str">
        <x:f>IF(M2&gt;=34,"Strong",IF(M2&gt;=25,"Proceed with restrictions",IF(M2&gt;=15,"High concern; remediation required","Do not deploy")))</x:f>
        <x:v>Proceed with restrictions</x:v>
      </x:c>
    </x:row>
    <x:row r="23">
      <x:c r="M23" t="n">
        <x:f>SUM(C2:L2)</x:f>
        <x:v>25</x:v>
      </x:c>
      <x:c r="N23" t="str">
        <x:f>IF(M2&gt;=34,"Strong",IF(M2&gt;=25,"Proceed with restrictions",IF(M2&gt;=15,"High concern; remediation required","Do not deploy")))</x:f>
        <x:v>Proceed with restrictions</x:v>
      </x:c>
    </x:row>
    <x:row r="24">
      <x:c r="M24" t="n">
        <x:f>SUM(C2:L2)</x:f>
        <x:v>25</x:v>
      </x:c>
      <x:c r="N24" t="str">
        <x:f>IF(M2&gt;=34,"Strong",IF(M2&gt;=25,"Proceed with restrictions",IF(M2&gt;=15,"High concern; remediation required","Do not deploy")))</x:f>
        <x:v>Proceed with restrictions</x:v>
      </x:c>
    </x:row>
    <x:row r="25">
      <x:c r="M25" t="n">
        <x:f>SUM(C2:L2)</x:f>
        <x:v>25</x:v>
      </x:c>
      <x:c r="N25" t="str">
        <x:f>IF(M2&gt;=34,"Strong",IF(M2&gt;=25,"Proceed with restrictions",IF(M2&gt;=15,"High concern; remediation required","Do not deploy")))</x:f>
        <x:v>Proceed with restrictions</x:v>
      </x:c>
    </x:row>
    <x:row r="26">
      <x:c r="M26" t="n">
        <x:f>SUM(C2:L2)</x:f>
        <x:v>25</x:v>
      </x:c>
      <x:c r="N26" t="str">
        <x:f>IF(M2&gt;=34,"Strong",IF(M2&gt;=25,"Proceed with restrictions",IF(M2&gt;=15,"High concern; remediation required","Do not deploy")))</x:f>
        <x:v>Proceed with restrictions</x:v>
      </x:c>
    </x:row>
    <x:row r="27">
      <x:c r="M27" t="n">
        <x:f>SUM(C2:L2)</x:f>
        <x:v>25</x:v>
      </x:c>
      <x:c r="N27" t="str">
        <x:f>IF(M2&gt;=34,"Strong",IF(M2&gt;=25,"Proceed with restrictions",IF(M2&gt;=15,"High concern; remediation required","Do not deploy")))</x:f>
        <x:v>Proceed with restrictions</x:v>
      </x:c>
    </x:row>
    <x:row r="28">
      <x:c r="M28" t="n">
        <x:f>SUM(C2:L2)</x:f>
        <x:v>25</x:v>
      </x:c>
      <x:c r="N28" t="str">
        <x:f>IF(M2&gt;=34,"Strong",IF(M2&gt;=25,"Proceed with restrictions",IF(M2&gt;=15,"High concern; remediation required","Do not deploy")))</x:f>
        <x:v>Proceed with restrictions</x:v>
      </x:c>
    </x:row>
    <x:row r="29">
      <x:c r="M29" t="n">
        <x:f>SUM(C2:L2)</x:f>
        <x:v>25</x:v>
      </x:c>
      <x:c r="N29" t="str">
        <x:f>IF(M2&gt;=34,"Strong",IF(M2&gt;=25,"Proceed with restrictions",IF(M2&gt;=15,"High concern; remediation required","Do not deploy")))</x:f>
        <x:v>Proceed with restrictions</x:v>
      </x:c>
    </x:row>
    <x:row r="30">
      <x:c r="M30" t="n">
        <x:f>SUM(C2:L2)</x:f>
        <x:v>25</x:v>
      </x:c>
      <x:c r="N30" t="str">
        <x:f>IF(M2&gt;=34,"Strong",IF(M2&gt;=25,"Proceed with restrictions",IF(M2&gt;=15,"High concern; remediation required","Do not deploy")))</x:f>
        <x:v>Proceed with restrictions</x:v>
      </x:c>
    </x:row>
    <x:row r="31">
      <x:c r="M31" t="n">
        <x:f>SUM(C2:L2)</x:f>
        <x:v>25</x:v>
      </x:c>
      <x:c r="N31" t="str">
        <x:f>IF(M2&gt;=34,"Strong",IF(M2&gt;=25,"Proceed with restrictions",IF(M2&gt;=15,"High concern; remediation required","Do not deploy")))</x:f>
        <x:v>Proceed with restrictions</x:v>
      </x:c>
    </x:row>
    <x:row r="32">
      <x:c r="M32" t="n">
        <x:f>SUM(C2:L2)</x:f>
        <x:v>25</x:v>
      </x:c>
      <x:c r="N32" t="str">
        <x:f>IF(M2&gt;=34,"Strong",IF(M2&gt;=25,"Proceed with restrictions",IF(M2&gt;=15,"High concern; remediation required","Do not deploy")))</x:f>
        <x:v>Proceed with restrictions</x:v>
      </x:c>
    </x:row>
    <x:row r="33">
      <x:c r="M33" t="n">
        <x:f>SUM(C2:L2)</x:f>
        <x:v>25</x:v>
      </x:c>
      <x:c r="N33" t="str">
        <x:f>IF(M2&gt;=34,"Strong",IF(M2&gt;=25,"Proceed with restrictions",IF(M2&gt;=15,"High concern; remediation required","Do not deploy")))</x:f>
        <x:v>Proceed with restrictions</x:v>
      </x:c>
    </x:row>
    <x:row r="34">
      <x:c r="M34" t="n">
        <x:f>SUM(C2:L2)</x:f>
        <x:v>25</x:v>
      </x:c>
      <x:c r="N34" t="str">
        <x:f>IF(M2&gt;=34,"Strong",IF(M2&gt;=25,"Proceed with restrictions",IF(M2&gt;=15,"High concern; remediation required","Do not deploy")))</x:f>
        <x:v>Proceed with restrictions</x:v>
      </x:c>
    </x:row>
    <x:row r="35">
      <x:c r="M35" t="n">
        <x:f>SUM(C2:L2)</x:f>
        <x:v>25</x:v>
      </x:c>
      <x:c r="N35" t="str">
        <x:f>IF(M2&gt;=34,"Strong",IF(M2&gt;=25,"Proceed with restrictions",IF(M2&gt;=15,"High concern; remediation required","Do not deploy")))</x:f>
        <x:v>Proceed with restrictions</x:v>
      </x:c>
    </x:row>
    <x:row r="36">
      <x:c r="M36" t="n">
        <x:f>SUM(C2:L2)</x:f>
        <x:v>25</x:v>
      </x:c>
      <x:c r="N36" t="str">
        <x:f>IF(M2&gt;=34,"Strong",IF(M2&gt;=25,"Proceed with restrictions",IF(M2&gt;=15,"High concern; remediation required","Do not deploy")))</x:f>
        <x:v>Proceed with restrictions</x:v>
      </x:c>
    </x:row>
    <x:row r="37">
      <x:c r="M37" t="n">
        <x:f>SUM(C2:L2)</x:f>
        <x:v>25</x:v>
      </x:c>
      <x:c r="N37" t="str">
        <x:f>IF(M2&gt;=34,"Strong",IF(M2&gt;=25,"Proceed with restrictions",IF(M2&gt;=15,"High concern; remediation required","Do not deploy")))</x:f>
        <x:v>Proceed with restrictions</x:v>
      </x:c>
    </x:row>
    <x:row r="38">
      <x:c r="M38" t="n">
        <x:f>SUM(C2:L2)</x:f>
        <x:v>25</x:v>
      </x:c>
      <x:c r="N38" t="str">
        <x:f>IF(M2&gt;=34,"Strong",IF(M2&gt;=25,"Proceed with restrictions",IF(M2&gt;=15,"High concern; remediation required","Do not deploy")))</x:f>
        <x:v>Proceed with restrictions</x:v>
      </x:c>
    </x:row>
    <x:row r="39">
      <x:c r="M39" t="n">
        <x:f>SUM(C2:L2)</x:f>
        <x:v>25</x:v>
      </x:c>
      <x:c r="N39" t="str">
        <x:f>IF(M2&gt;=34,"Strong",IF(M2&gt;=25,"Proceed with restrictions",IF(M2&gt;=15,"High concern; remediation required","Do not deploy")))</x:f>
        <x:v>Proceed with restrictions</x:v>
      </x:c>
    </x:row>
    <x:row r="40">
      <x:c r="M40" t="n">
        <x:f>SUM(C2:L2)</x:f>
        <x:v>25</x:v>
      </x:c>
      <x:c r="N40" t="str">
        <x:f>IF(M2&gt;=34,"Strong",IF(M2&gt;=25,"Proceed with restrictions",IF(M2&gt;=15,"High concern; remediation required","Do not deploy")))</x:f>
        <x:v>Proceed with restrictions</x:v>
      </x:c>
    </x:row>
    <x:row r="41">
      <x:c r="M41" t="n">
        <x:f>SUM(C2:L2)</x:f>
        <x:v>25</x:v>
      </x:c>
      <x:c r="N41" t="str">
        <x:f>IF(M2&gt;=34,"Strong",IF(M2&gt;=25,"Proceed with restrictions",IF(M2&gt;=15,"High concern; remediation required","Do not deploy")))</x:f>
        <x:v>Proceed with restrictions</x:v>
      </x:c>
    </x:row>
    <x:row r="42">
      <x:c r="M42" t="n">
        <x:f>SUM(C2:L2)</x:f>
        <x:v>25</x:v>
      </x:c>
      <x:c r="N42" t="str">
        <x:f>IF(M2&gt;=34,"Strong",IF(M2&gt;=25,"Proceed with restrictions",IF(M2&gt;=15,"High concern; remediation required","Do not deploy")))</x:f>
        <x:v>Proceed with restrictions</x:v>
      </x:c>
    </x:row>
    <x:row r="43">
      <x:c r="M43" t="n">
        <x:f>SUM(C2:L2)</x:f>
        <x:v>25</x:v>
      </x:c>
      <x:c r="N43" t="str">
        <x:f>IF(M2&gt;=34,"Strong",IF(M2&gt;=25,"Proceed with restrictions",IF(M2&gt;=15,"High concern; remediation required","Do not deploy")))</x:f>
        <x:v>Proceed with restrictions</x:v>
      </x:c>
    </x:row>
    <x:row r="44">
      <x:c r="M44" t="n">
        <x:f>SUM(C2:L2)</x:f>
        <x:v>25</x:v>
      </x:c>
      <x:c r="N44" t="str">
        <x:f>IF(M2&gt;=34,"Strong",IF(M2&gt;=25,"Proceed with restrictions",IF(M2&gt;=15,"High concern; remediation required","Do not deploy")))</x:f>
        <x:v>Proceed with restrictions</x:v>
      </x:c>
    </x:row>
    <x:row r="45">
      <x:c r="M45" t="n">
        <x:f>SUM(C2:L2)</x:f>
        <x:v>25</x:v>
      </x:c>
      <x:c r="N45" t="str">
        <x:f>IF(M2&gt;=34,"Strong",IF(M2&gt;=25,"Proceed with restrictions",IF(M2&gt;=15,"High concern; remediation required","Do not deploy")))</x:f>
        <x:v>Proceed with restrictions</x:v>
      </x:c>
    </x:row>
    <x:row r="46">
      <x:c r="M46" t="n">
        <x:f>SUM(C2:L2)</x:f>
        <x:v>25</x:v>
      </x:c>
      <x:c r="N46" t="str">
        <x:f>IF(M2&gt;=34,"Strong",IF(M2&gt;=25,"Proceed with restrictions",IF(M2&gt;=15,"High concern; remediation required","Do not deploy")))</x:f>
        <x:v>Proceed with restrictions</x:v>
      </x:c>
    </x:row>
    <x:row r="47">
      <x:c r="M47" t="n">
        <x:f>SUM(C2:L2)</x:f>
        <x:v>25</x:v>
      </x:c>
      <x:c r="N47" t="str">
        <x:f>IF(M2&gt;=34,"Strong",IF(M2&gt;=25,"Proceed with restrictions",IF(M2&gt;=15,"High concern; remediation required","Do not deploy")))</x:f>
        <x:v>Proceed with restrictions</x:v>
      </x:c>
    </x:row>
    <x:row r="48">
      <x:c r="M48" t="n">
        <x:f>SUM(C2:L2)</x:f>
        <x:v>25</x:v>
      </x:c>
      <x:c r="N48" t="str">
        <x:f>IF(M2&gt;=34,"Strong",IF(M2&gt;=25,"Proceed with restrictions",IF(M2&gt;=15,"High concern; remediation required","Do not deploy")))</x:f>
        <x:v>Proceed with restrictions</x:v>
      </x:c>
    </x:row>
    <x:row r="49">
      <x:c r="M49" t="n">
        <x:f>SUM(C2:L2)</x:f>
        <x:v>25</x:v>
      </x:c>
      <x:c r="N49" t="str">
        <x:f>IF(M2&gt;=34,"Strong",IF(M2&gt;=25,"Proceed with restrictions",IF(M2&gt;=15,"High concern; remediation required","Do not deploy")))</x:f>
        <x:v>Proceed with restrictions</x:v>
      </x:c>
    </x:row>
    <x:row r="50">
      <x:c r="M50" t="n">
        <x:f>SUM(C2:L2)</x:f>
        <x:v>25</x:v>
      </x:c>
      <x:c r="N50" t="str">
        <x:f>IF(M2&gt;=34,"Strong",IF(M2&gt;=25,"Proceed with restrictions",IF(M2&gt;=15,"High concern; remediation required","Do not deploy")))</x:f>
        <x:v>Proceed with restrictions</x:v>
      </x:c>
    </x:row>
    <x:row r="51">
      <x:c r="M51" t="n">
        <x:f>SUM(C2:L2)</x:f>
        <x:v>25</x:v>
      </x:c>
      <x:c r="N51" t="str">
        <x:f>IF(M2&gt;=34,"Strong",IF(M2&gt;=25,"Proceed with restrictions",IF(M2&gt;=15,"High concern; remediation required","Do not deploy")))</x:f>
        <x:v>Proceed with restrictions</x:v>
      </x:c>
    </x:row>
    <x:row r="52">
      <x:c r="M52" t="n">
        <x:f>SUM(C2:L2)</x:f>
        <x:v>25</x:v>
      </x:c>
      <x:c r="N52" t="str">
        <x:f>IF(M2&gt;=34,"Strong",IF(M2&gt;=25,"Proceed with restrictions",IF(M2&gt;=15,"High concern; remediation required","Do not deploy")))</x:f>
        <x:v>Proceed with restrictions</x:v>
      </x:c>
    </x:row>
    <x:row r="53">
      <x:c r="M53" t="n">
        <x:f>SUM(C2:L2)</x:f>
        <x:v>25</x:v>
      </x:c>
      <x:c r="N53" t="str">
        <x:f>IF(M2&gt;=34,"Strong",IF(M2&gt;=25,"Proceed with restrictions",IF(M2&gt;=15,"High concern; remediation required","Do not deploy")))</x:f>
        <x:v>Proceed with restrictions</x:v>
      </x:c>
    </x:row>
    <x:row r="54">
      <x:c r="M54" t="n">
        <x:f>SUM(C2:L2)</x:f>
        <x:v>25</x:v>
      </x:c>
      <x:c r="N54" t="str">
        <x:f>IF(M2&gt;=34,"Strong",IF(M2&gt;=25,"Proceed with restrictions",IF(M2&gt;=15,"High concern; remediation required","Do not deploy")))</x:f>
        <x:v>Proceed with restrictions</x:v>
      </x:c>
    </x:row>
    <x:row r="55">
      <x:c r="M55" t="n">
        <x:f>SUM(C2:L2)</x:f>
        <x:v>25</x:v>
      </x:c>
      <x:c r="N55" t="str">
        <x:f>IF(M2&gt;=34,"Strong",IF(M2&gt;=25,"Proceed with restrictions",IF(M2&gt;=15,"High concern; remediation required","Do not deploy")))</x:f>
        <x:v>Proceed with restrictions</x:v>
      </x:c>
    </x:row>
    <x:row r="56">
      <x:c r="M56" t="n">
        <x:f>SUM(C2:L2)</x:f>
        <x:v>25</x:v>
      </x:c>
      <x:c r="N56" t="str">
        <x:f>IF(M2&gt;=34,"Strong",IF(M2&gt;=25,"Proceed with restrictions",IF(M2&gt;=15,"High concern; remediation required","Do not deploy")))</x:f>
        <x:v>Proceed with restrictions</x:v>
      </x:c>
    </x:row>
    <x:row r="57">
      <x:c r="M57" t="n">
        <x:f>SUM(C2:L2)</x:f>
        <x:v>25</x:v>
      </x:c>
      <x:c r="N57" t="str">
        <x:f>IF(M2&gt;=34,"Strong",IF(M2&gt;=25,"Proceed with restrictions",IF(M2&gt;=15,"High concern; remediation required","Do not deploy")))</x:f>
        <x:v>Proceed with restrictions</x:v>
      </x:c>
    </x:row>
    <x:row r="58">
      <x:c r="M58" t="n">
        <x:f>SUM(C2:L2)</x:f>
        <x:v>25</x:v>
      </x:c>
      <x:c r="N58" t="str">
        <x:f>IF(M2&gt;=34,"Strong",IF(M2&gt;=25,"Proceed with restrictions",IF(M2&gt;=15,"High concern; remediation required","Do not deploy")))</x:f>
        <x:v>Proceed with restrictions</x:v>
      </x:c>
    </x:row>
    <x:row r="59">
      <x:c r="M59" t="n">
        <x:f>SUM(C2:L2)</x:f>
        <x:v>25</x:v>
      </x:c>
      <x:c r="N59" t="str">
        <x:f>IF(M2&gt;=34,"Strong",IF(M2&gt;=25,"Proceed with restrictions",IF(M2&gt;=15,"High concern; remediation required","Do not deploy")))</x:f>
        <x:v>Proceed with restrictions</x:v>
      </x:c>
    </x:row>
    <x:row r="60">
      <x:c r="M60" t="n">
        <x:f>SUM(C2:L2)</x:f>
        <x:v>25</x:v>
      </x:c>
      <x:c r="N60" t="str">
        <x:f>IF(M2&gt;=34,"Strong",IF(M2&gt;=25,"Proceed with restrictions",IF(M2&gt;=15,"High concern; remediation required","Do not deploy")))</x:f>
        <x:v>Proceed with restrictions</x:v>
      </x:c>
    </x:row>
    <x:row r="61">
      <x:c r="M61" t="n">
        <x:f>SUM(C2:L2)</x:f>
        <x:v>25</x:v>
      </x:c>
      <x:c r="N61" t="str">
        <x:f>IF(M2&gt;=34,"Strong",IF(M2&gt;=25,"Proceed with restrictions",IF(M2&gt;=15,"High concern; remediation required","Do not deploy")))</x:f>
        <x:v>Proceed with restrictions</x:v>
      </x:c>
    </x:row>
    <x:row r="62">
      <x:c r="M62" t="n">
        <x:f>SUM(C2:L2)</x:f>
        <x:v>25</x:v>
      </x:c>
      <x:c r="N62" t="str">
        <x:f>IF(M2&gt;=34,"Strong",IF(M2&gt;=25,"Proceed with restrictions",IF(M2&gt;=15,"High concern; remediation required","Do not deploy")))</x:f>
        <x:v>Proceed with restrictions</x:v>
      </x:c>
    </x:row>
    <x:row r="63">
      <x:c r="M63" t="n">
        <x:f>SUM(C2:L2)</x:f>
        <x:v>25</x:v>
      </x:c>
      <x:c r="N63" t="str">
        <x:f>IF(M2&gt;=34,"Strong",IF(M2&gt;=25,"Proceed with restrictions",IF(M2&gt;=15,"High concern; remediation required","Do not deploy")))</x:f>
        <x:v>Proceed with restrictions</x:v>
      </x:c>
    </x:row>
    <x:row r="64">
      <x:c r="M64" t="n">
        <x:f>SUM(C2:L2)</x:f>
        <x:v>25</x:v>
      </x:c>
      <x:c r="N64" t="str">
        <x:f>IF(M2&gt;=34,"Strong",IF(M2&gt;=25,"Proceed with restrictions",IF(M2&gt;=15,"High concern; remediation required","Do not deploy")))</x:f>
        <x:v>Proceed with restrictions</x:v>
      </x:c>
    </x:row>
    <x:row r="65">
      <x:c r="M65" t="n">
        <x:f>SUM(C2:L2)</x:f>
        <x:v>25</x:v>
      </x:c>
      <x:c r="N65" t="str">
        <x:f>IF(M2&gt;=34,"Strong",IF(M2&gt;=25,"Proceed with restrictions",IF(M2&gt;=15,"High concern; remediation required","Do not deploy")))</x:f>
        <x:v>Proceed with restrictions</x:v>
      </x:c>
    </x:row>
    <x:row r="66">
      <x:c r="M66" t="n">
        <x:f>SUM(C2:L2)</x:f>
        <x:v>25</x:v>
      </x:c>
      <x:c r="N66" t="str">
        <x:f>IF(M2&gt;=34,"Strong",IF(M2&gt;=25,"Proceed with restrictions",IF(M2&gt;=15,"High concern; remediation required","Do not deploy")))</x:f>
        <x:v>Proceed with restrictions</x:v>
      </x:c>
    </x:row>
    <x:row r="67">
      <x:c r="M67" t="n">
        <x:f>SUM(C2:L2)</x:f>
        <x:v>25</x:v>
      </x:c>
      <x:c r="N67" t="str">
        <x:f>IF(M2&gt;=34,"Strong",IF(M2&gt;=25,"Proceed with restrictions",IF(M2&gt;=15,"High concern; remediation required","Do not deploy")))</x:f>
        <x:v>Proceed with restrictions</x:v>
      </x:c>
    </x:row>
    <x:row r="68">
      <x:c r="M68" t="n">
        <x:f>SUM(C2:L2)</x:f>
        <x:v>25</x:v>
      </x:c>
      <x:c r="N68" t="str">
        <x:f>IF(M2&gt;=34,"Strong",IF(M2&gt;=25,"Proceed with restrictions",IF(M2&gt;=15,"High concern; remediation required","Do not deploy")))</x:f>
        <x:v>Proceed with restrictions</x:v>
      </x:c>
    </x:row>
    <x:row r="69">
      <x:c r="M69" t="n">
        <x:f>SUM(C2:L2)</x:f>
        <x:v>25</x:v>
      </x:c>
      <x:c r="N69" t="str">
        <x:f>IF(M2&gt;=34,"Strong",IF(M2&gt;=25,"Proceed with restrictions",IF(M2&gt;=15,"High concern; remediation required","Do not deploy")))</x:f>
        <x:v>Proceed with restrictions</x:v>
      </x:c>
    </x:row>
    <x:row r="70">
      <x:c r="M70" t="n">
        <x:f>SUM(C2:L2)</x:f>
        <x:v>25</x:v>
      </x:c>
      <x:c r="N70" t="str">
        <x:f>IF(M2&gt;=34,"Strong",IF(M2&gt;=25,"Proceed with restrictions",IF(M2&gt;=15,"High concern; remediation required","Do not deploy")))</x:f>
        <x:v>Proceed with restrictions</x:v>
      </x:c>
    </x:row>
    <x:row r="71">
      <x:c r="M71" t="n">
        <x:f>SUM(C2:L2)</x:f>
        <x:v>25</x:v>
      </x:c>
      <x:c r="N71" t="str">
        <x:f>IF(M2&gt;=34,"Strong",IF(M2&gt;=25,"Proceed with restrictions",IF(M2&gt;=15,"High concern; remediation required","Do not deploy")))</x:f>
        <x:v>Proceed with restrictions</x:v>
      </x:c>
    </x:row>
    <x:row r="72">
      <x:c r="M72" t="n">
        <x:f>SUM(C2:L2)</x:f>
        <x:v>25</x:v>
      </x:c>
      <x:c r="N72" t="str">
        <x:f>IF(M2&gt;=34,"Strong",IF(M2&gt;=25,"Proceed with restrictions",IF(M2&gt;=15,"High concern; remediation required","Do not deploy")))</x:f>
        <x:v>Proceed with restrictions</x:v>
      </x:c>
    </x:row>
    <x:row r="73">
      <x:c r="M73" t="n">
        <x:f>SUM(C2:L2)</x:f>
        <x:v>25</x:v>
      </x:c>
      <x:c r="N73" t="str">
        <x:f>IF(M2&gt;=34,"Strong",IF(M2&gt;=25,"Proceed with restrictions",IF(M2&gt;=15,"High concern; remediation required","Do not deploy")))</x:f>
        <x:v>Proceed with restrictions</x:v>
      </x:c>
    </x:row>
    <x:row r="74">
      <x:c r="M74" t="n">
        <x:f>SUM(C2:L2)</x:f>
        <x:v>25</x:v>
      </x:c>
      <x:c r="N74" t="str">
        <x:f>IF(M2&gt;=34,"Strong",IF(M2&gt;=25,"Proceed with restrictions",IF(M2&gt;=15,"High concern; remediation required","Do not deploy")))</x:f>
        <x:v>Proceed with restrictions</x:v>
      </x:c>
    </x:row>
    <x:row r="75">
      <x:c r="M75" t="n">
        <x:f>SUM(C2:L2)</x:f>
        <x:v>25</x:v>
      </x:c>
      <x:c r="N75" t="str">
        <x:f>IF(M2&gt;=34,"Strong",IF(M2&gt;=25,"Proceed with restrictions",IF(M2&gt;=15,"High concern; remediation required","Do not deploy")))</x:f>
        <x:v>Proceed with restrictions</x:v>
      </x:c>
    </x:row>
    <x:row r="76">
      <x:c r="M76" t="n">
        <x:f>SUM(C2:L2)</x:f>
        <x:v>25</x:v>
      </x:c>
      <x:c r="N76" t="str">
        <x:f>IF(M2&gt;=34,"Strong",IF(M2&gt;=25,"Proceed with restrictions",IF(M2&gt;=15,"High concern; remediation required","Do not deploy")))</x:f>
        <x:v>Proceed with restrictions</x:v>
      </x:c>
    </x:row>
    <x:row r="77">
      <x:c r="M77" t="n">
        <x:f>SUM(C2:L2)</x:f>
        <x:v>25</x:v>
      </x:c>
      <x:c r="N77" t="str">
        <x:f>IF(M2&gt;=34,"Strong",IF(M2&gt;=25,"Proceed with restrictions",IF(M2&gt;=15,"High concern; remediation required","Do not deploy")))</x:f>
        <x:v>Proceed with restrictions</x:v>
      </x:c>
    </x:row>
    <x:row r="78">
      <x:c r="M78" t="n">
        <x:f>SUM(C2:L2)</x:f>
        <x:v>25</x:v>
      </x:c>
      <x:c r="N78" t="str">
        <x:f>IF(M2&gt;=34,"Strong",IF(M2&gt;=25,"Proceed with restrictions",IF(M2&gt;=15,"High concern; remediation required","Do not deploy")))</x:f>
        <x:v>Proceed with restrictions</x:v>
      </x:c>
    </x:row>
    <x:row r="79">
      <x:c r="M79" t="n">
        <x:f>SUM(C2:L2)</x:f>
        <x:v>25</x:v>
      </x:c>
      <x:c r="N79" t="str">
        <x:f>IF(M2&gt;=34,"Strong",IF(M2&gt;=25,"Proceed with restrictions",IF(M2&gt;=15,"High concern; remediation required","Do not deploy")))</x:f>
        <x:v>Proceed with restrictions</x:v>
      </x:c>
    </x:row>
    <x:row r="80">
      <x:c r="M80" t="n">
        <x:f>SUM(C2:L2)</x:f>
        <x:v>25</x:v>
      </x:c>
      <x:c r="N80" t="str">
        <x:f>IF(M2&gt;=34,"Strong",IF(M2&gt;=25,"Proceed with restrictions",IF(M2&gt;=15,"High concern; remediation required","Do not deploy")))</x:f>
        <x:v>Proceed with restrictions</x:v>
      </x:c>
    </x:row>
    <x:row r="81">
      <x:c r="M81" t="n">
        <x:f>SUM(C2:L2)</x:f>
        <x:v>25</x:v>
      </x:c>
      <x:c r="N81" t="str">
        <x:f>IF(M2&gt;=34,"Strong",IF(M2&gt;=25,"Proceed with restrictions",IF(M2&gt;=15,"High concern; remediation required","Do not deploy")))</x:f>
        <x:v>Proceed with restrictions</x:v>
      </x:c>
    </x:row>
    <x:row r="82">
      <x:c r="M82" t="n">
        <x:f>SUM(C2:L2)</x:f>
        <x:v>25</x:v>
      </x:c>
      <x:c r="N82" t="str">
        <x:f>IF(M2&gt;=34,"Strong",IF(M2&gt;=25,"Proceed with restrictions",IF(M2&gt;=15,"High concern; remediation required","Do not deploy")))</x:f>
        <x:v>Proceed with restrictions</x:v>
      </x:c>
    </x:row>
    <x:row r="83">
      <x:c r="M83" t="n">
        <x:f>SUM(C2:L2)</x:f>
        <x:v>25</x:v>
      </x:c>
      <x:c r="N83" t="str">
        <x:f>IF(M2&gt;=34,"Strong",IF(M2&gt;=25,"Proceed with restrictions",IF(M2&gt;=15,"High concern; remediation required","Do not deploy")))</x:f>
        <x:v>Proceed with restrictions</x:v>
      </x:c>
    </x:row>
    <x:row r="84">
      <x:c r="M84" t="n">
        <x:f>SUM(C2:L2)</x:f>
        <x:v>25</x:v>
      </x:c>
      <x:c r="N84" t="str">
        <x:f>IF(M2&gt;=34,"Strong",IF(M2&gt;=25,"Proceed with restrictions",IF(M2&gt;=15,"High concern; remediation required","Do not deploy")))</x:f>
        <x:v>Proceed with restrictions</x:v>
      </x:c>
    </x:row>
    <x:row r="85">
      <x:c r="M85" t="n">
        <x:f>SUM(C2:L2)</x:f>
        <x:v>25</x:v>
      </x:c>
      <x:c r="N85" t="str">
        <x:f>IF(M2&gt;=34,"Strong",IF(M2&gt;=25,"Proceed with restrictions",IF(M2&gt;=15,"High concern; remediation required","Do not deploy")))</x:f>
        <x:v>Proceed with restrictions</x:v>
      </x:c>
    </x:row>
    <x:row r="86">
      <x:c r="M86" t="n">
        <x:f>SUM(C2:L2)</x:f>
        <x:v>25</x:v>
      </x:c>
      <x:c r="N86" t="str">
        <x:f>IF(M2&gt;=34,"Strong",IF(M2&gt;=25,"Proceed with restrictions",IF(M2&gt;=15,"High concern; remediation required","Do not deploy")))</x:f>
        <x:v>Proceed with restrictions</x:v>
      </x:c>
    </x:row>
    <x:row r="87">
      <x:c r="M87" t="n">
        <x:f>SUM(C2:L2)</x:f>
        <x:v>25</x:v>
      </x:c>
      <x:c r="N87" t="str">
        <x:f>IF(M2&gt;=34,"Strong",IF(M2&gt;=25,"Proceed with restrictions",IF(M2&gt;=15,"High concern; remediation required","Do not deploy")))</x:f>
        <x:v>Proceed with restrictions</x:v>
      </x:c>
    </x:row>
    <x:row r="88">
      <x:c r="M88" t="n">
        <x:f>SUM(C2:L2)</x:f>
        <x:v>25</x:v>
      </x:c>
      <x:c r="N88" t="str">
        <x:f>IF(M2&gt;=34,"Strong",IF(M2&gt;=25,"Proceed with restrictions",IF(M2&gt;=15,"High concern; remediation required","Do not deploy")))</x:f>
        <x:v>Proceed with restrictions</x:v>
      </x:c>
    </x:row>
    <x:row r="89">
      <x:c r="M89" t="n">
        <x:f>SUM(C2:L2)</x:f>
        <x:v>25</x:v>
      </x:c>
      <x:c r="N89" t="str">
        <x:f>IF(M2&gt;=34,"Strong",IF(M2&gt;=25,"Proceed with restrictions",IF(M2&gt;=15,"High concern; remediation required","Do not deploy")))</x:f>
        <x:v>Proceed with restrictions</x:v>
      </x:c>
    </x:row>
    <x:row r="90">
      <x:c r="M90" t="n">
        <x:f>SUM(C2:L2)</x:f>
        <x:v>25</x:v>
      </x:c>
      <x:c r="N90" t="str">
        <x:f>IF(M2&gt;=34,"Strong",IF(M2&gt;=25,"Proceed with restrictions",IF(M2&gt;=15,"High concern; remediation required","Do not deploy")))</x:f>
        <x:v>Proceed with restrictions</x:v>
      </x:c>
    </x:row>
    <x:row r="91">
      <x:c r="M91" t="n">
        <x:f>SUM(C2:L2)</x:f>
        <x:v>25</x:v>
      </x:c>
      <x:c r="N91" t="str">
        <x:f>IF(M2&gt;=34,"Strong",IF(M2&gt;=25,"Proceed with restrictions",IF(M2&gt;=15,"High concern; remediation required","Do not deploy")))</x:f>
        <x:v>Proceed with restrictions</x:v>
      </x:c>
    </x:row>
    <x:row r="92">
      <x:c r="M92" t="n">
        <x:f>SUM(C2:L2)</x:f>
        <x:v>25</x:v>
      </x:c>
      <x:c r="N92" t="str">
        <x:f>IF(M2&gt;=34,"Strong",IF(M2&gt;=25,"Proceed with restrictions",IF(M2&gt;=15,"High concern; remediation required","Do not deploy")))</x:f>
        <x:v>Proceed with restrictions</x:v>
      </x:c>
    </x:row>
    <x:row r="93">
      <x:c r="M93" t="n">
        <x:f>SUM(C2:L2)</x:f>
        <x:v>25</x:v>
      </x:c>
      <x:c r="N93" t="str">
        <x:f>IF(M2&gt;=34,"Strong",IF(M2&gt;=25,"Proceed with restrictions",IF(M2&gt;=15,"High concern; remediation required","Do not deploy")))</x:f>
        <x:v>Proceed with restrictions</x:v>
      </x:c>
    </x:row>
    <x:row r="94">
      <x:c r="M94" t="n">
        <x:f>SUM(C2:L2)</x:f>
        <x:v>25</x:v>
      </x:c>
      <x:c r="N94" t="str">
        <x:f>IF(M2&gt;=34,"Strong",IF(M2&gt;=25,"Proceed with restrictions",IF(M2&gt;=15,"High concern; remediation required","Do not deploy")))</x:f>
        <x:v>Proceed with restrictions</x:v>
      </x:c>
    </x:row>
    <x:row r="95">
      <x:c r="M95" t="n">
        <x:f>SUM(C2:L2)</x:f>
        <x:v>25</x:v>
      </x:c>
      <x:c r="N95" t="str">
        <x:f>IF(M2&gt;=34,"Strong",IF(M2&gt;=25,"Proceed with restrictions",IF(M2&gt;=15,"High concern; remediation required","Do not deploy")))</x:f>
        <x:v>Proceed with restrictions</x:v>
      </x:c>
    </x:row>
    <x:row r="96">
      <x:c r="M96" t="n">
        <x:f>SUM(C2:L2)</x:f>
        <x:v>25</x:v>
      </x:c>
      <x:c r="N96" t="str">
        <x:f>IF(M2&gt;=34,"Strong",IF(M2&gt;=25,"Proceed with restrictions",IF(M2&gt;=15,"High concern; remediation required","Do not deploy")))</x:f>
        <x:v>Proceed with restrictions</x:v>
      </x:c>
    </x:row>
    <x:row r="97">
      <x:c r="M97" t="n">
        <x:f>SUM(C2:L2)</x:f>
        <x:v>25</x:v>
      </x:c>
      <x:c r="N97" t="str">
        <x:f>IF(M2&gt;=34,"Strong",IF(M2&gt;=25,"Proceed with restrictions",IF(M2&gt;=15,"High concern; remediation required","Do not deploy")))</x:f>
        <x:v>Proceed with restrictions</x:v>
      </x:c>
    </x:row>
    <x:row r="98">
      <x:c r="M98" t="n">
        <x:f>SUM(C2:L2)</x:f>
        <x:v>25</x:v>
      </x:c>
      <x:c r="N98" t="str">
        <x:f>IF(M2&gt;=34,"Strong",IF(M2&gt;=25,"Proceed with restrictions",IF(M2&gt;=15,"High concern; remediation required","Do not deploy")))</x:f>
        <x:v>Proceed with restrictions</x:v>
      </x:c>
    </x:row>
    <x:row r="99">
      <x:c r="M99" t="n">
        <x:f>SUM(C2:L2)</x:f>
        <x:v>25</x:v>
      </x:c>
      <x:c r="N99" t="str">
        <x:f>IF(M2&gt;=34,"Strong",IF(M2&gt;=25,"Proceed with restrictions",IF(M2&gt;=15,"High concern; remediation required","Do not deploy")))</x:f>
        <x:v>Proceed with restrictions</x:v>
      </x:c>
    </x:row>
    <x:row r="100">
      <x:c r="M100" t="n">
        <x:f>SUM(C2:L2)</x:f>
        <x:v>25</x:v>
      </x:c>
      <x:c r="N100" t="str">
        <x:f>IF(M2&gt;=34,"Strong",IF(M2&gt;=25,"Proceed with restrictions",IF(M2&gt;=15,"High concern; remediation required","Do not deploy")))</x:f>
        <x:v>Proceed with restrictions</x:v>
      </x:c>
    </x:row>
    <x:row r="101">
      <x:c r="M101" t="n">
        <x:f>SUM(C2:L2)</x:f>
        <x:v>25</x:v>
      </x:c>
      <x:c r="N101" t="str">
        <x:f>IF(M2&gt;=34,"Strong",IF(M2&gt;=25,"Proceed with restrictions",IF(M2&gt;=15,"High concern; remediation required","Do not deploy")))</x:f>
        <x:v>Proceed with restrictions</x:v>
      </x:c>
    </x:row>
    <x:row r="102">
      <x:c r="M102" t="n">
        <x:f>SUM(C2:L2)</x:f>
        <x:v>25</x:v>
      </x:c>
      <x:c r="N102" t="str">
        <x:f>IF(M2&gt;=34,"Strong",IF(M2&gt;=25,"Proceed with restrictions",IF(M2&gt;=15,"High concern; remediation required","Do not deploy")))</x:f>
        <x:v>Proceed with restrictions</x:v>
      </x:c>
    </x:row>
    <x:row r="103">
      <x:c r="M103" t="n">
        <x:f>SUM(C2:L2)</x:f>
        <x:v>25</x:v>
      </x:c>
      <x:c r="N103" t="str">
        <x:f>IF(M2&gt;=34,"Strong",IF(M2&gt;=25,"Proceed with restrictions",IF(M2&gt;=15,"High concern; remediation required","Do not deploy")))</x:f>
        <x:v>Proceed with restrictions</x:v>
      </x:c>
    </x:row>
    <x:row r="104">
      <x:c r="M104" t="n">
        <x:f>SUM(C2:L2)</x:f>
        <x:v>25</x:v>
      </x:c>
      <x:c r="N104" t="str">
        <x:f>IF(M2&gt;=34,"Strong",IF(M2&gt;=25,"Proceed with restrictions",IF(M2&gt;=15,"High concern; remediation required","Do not deploy")))</x:f>
        <x:v>Proceed with restrictions</x:v>
      </x:c>
    </x:row>
    <x:row r="105">
      <x:c r="M105" t="n">
        <x:f>SUM(C2:L2)</x:f>
        <x:v>25</x:v>
      </x:c>
      <x:c r="N105" t="str">
        <x:f>IF(M2&gt;=34,"Strong",IF(M2&gt;=25,"Proceed with restrictions",IF(M2&gt;=15,"High concern; remediation required","Do not deploy")))</x:f>
        <x:v>Proceed with restrictions</x:v>
      </x:c>
    </x:row>
    <x:row r="106">
      <x:c r="M106" t="n">
        <x:f>SUM(C2:L2)</x:f>
        <x:v>25</x:v>
      </x:c>
      <x:c r="N106" t="str">
        <x:f>IF(M2&gt;=34,"Strong",IF(M2&gt;=25,"Proceed with restrictions",IF(M2&gt;=15,"High concern; remediation required","Do not deploy")))</x:f>
        <x:v>Proceed with restrictions</x:v>
      </x:c>
    </x:row>
    <x:row r="107">
      <x:c r="M107" t="n">
        <x:f>SUM(C2:L2)</x:f>
        <x:v>25</x:v>
      </x:c>
      <x:c r="N107" t="str">
        <x:f>IF(M2&gt;=34,"Strong",IF(M2&gt;=25,"Proceed with restrictions",IF(M2&gt;=15,"High concern; remediation required","Do not deploy")))</x:f>
        <x:v>Proceed with restrictions</x:v>
      </x:c>
    </x:row>
    <x:row r="108">
      <x:c r="M108" t="n">
        <x:f>SUM(C2:L2)</x:f>
        <x:v>25</x:v>
      </x:c>
      <x:c r="N108" t="str">
        <x:f>IF(M2&gt;=34,"Strong",IF(M2&gt;=25,"Proceed with restrictions",IF(M2&gt;=15,"High concern; remediation required","Do not deploy")))</x:f>
        <x:v>Proceed with restrictions</x:v>
      </x:c>
    </x:row>
    <x:row r="109">
      <x:c r="M109" t="n">
        <x:f>SUM(C2:L2)</x:f>
        <x:v>25</x:v>
      </x:c>
      <x:c r="N109" t="str">
        <x:f>IF(M2&gt;=34,"Strong",IF(M2&gt;=25,"Proceed with restrictions",IF(M2&gt;=15,"High concern; remediation required","Do not deploy")))</x:f>
        <x:v>Proceed with restrictions</x:v>
      </x:c>
    </x:row>
    <x:row r="110">
      <x:c r="M110" t="n">
        <x:f>SUM(C2:L2)</x:f>
        <x:v>25</x:v>
      </x:c>
      <x:c r="N110" t="str">
        <x:f>IF(M2&gt;=34,"Strong",IF(M2&gt;=25,"Proceed with restrictions",IF(M2&gt;=15,"High concern; remediation required","Do not deploy")))</x:f>
        <x:v>Proceed with restrictions</x:v>
      </x:c>
    </x:row>
    <x:row r="111">
      <x:c r="M111" t="n">
        <x:f>SUM(C2:L2)</x:f>
        <x:v>25</x:v>
      </x:c>
      <x:c r="N111" t="str">
        <x:f>IF(M2&gt;=34,"Strong",IF(M2&gt;=25,"Proceed with restrictions",IF(M2&gt;=15,"High concern; remediation required","Do not deploy")))</x:f>
        <x:v>Proceed with restrictions</x:v>
      </x:c>
    </x:row>
    <x:row r="112">
      <x:c r="M112" t="n">
        <x:f>SUM(C2:L2)</x:f>
        <x:v>25</x:v>
      </x:c>
      <x:c r="N112" t="str">
        <x:f>IF(M2&gt;=34,"Strong",IF(M2&gt;=25,"Proceed with restrictions",IF(M2&gt;=15,"High concern; remediation required","Do not deploy")))</x:f>
        <x:v>Proceed with restrictions</x:v>
      </x:c>
    </x:row>
    <x:row r="113">
      <x:c r="M113" t="n">
        <x:f>SUM(C2:L2)</x:f>
        <x:v>25</x:v>
      </x:c>
      <x:c r="N113" t="str">
        <x:f>IF(M2&gt;=34,"Strong",IF(M2&gt;=25,"Proceed with restrictions",IF(M2&gt;=15,"High concern; remediation required","Do not deploy")))</x:f>
        <x:v>Proceed with restrictions</x:v>
      </x:c>
    </x:row>
    <x:row r="114">
      <x:c r="M114" t="n">
        <x:f>SUM(C2:L2)</x:f>
        <x:v>25</x:v>
      </x:c>
      <x:c r="N114" t="str">
        <x:f>IF(M2&gt;=34,"Strong",IF(M2&gt;=25,"Proceed with restrictions",IF(M2&gt;=15,"High concern; remediation required","Do not deploy")))</x:f>
        <x:v>Proceed with restrictions</x:v>
      </x:c>
    </x:row>
    <x:row r="115">
      <x:c r="M115" t="n">
        <x:f>SUM(C2:L2)</x:f>
        <x:v>25</x:v>
      </x:c>
      <x:c r="N115" t="str">
        <x:f>IF(M2&gt;=34,"Strong",IF(M2&gt;=25,"Proceed with restrictions",IF(M2&gt;=15,"High concern; remediation required","Do not deploy")))</x:f>
        <x:v>Proceed with restrictions</x:v>
      </x:c>
    </x:row>
    <x:row r="116">
      <x:c r="M116" t="n">
        <x:f>SUM(C2:L2)</x:f>
        <x:v>25</x:v>
      </x:c>
      <x:c r="N116" t="str">
        <x:f>IF(M2&gt;=34,"Strong",IF(M2&gt;=25,"Proceed with restrictions",IF(M2&gt;=15,"High concern; remediation required","Do not deploy")))</x:f>
        <x:v>Proceed with restrictions</x:v>
      </x:c>
    </x:row>
    <x:row r="117">
      <x:c r="M117" t="n">
        <x:f>SUM(C2:L2)</x:f>
        <x:v>25</x:v>
      </x:c>
      <x:c r="N117" t="str">
        <x:f>IF(M2&gt;=34,"Strong",IF(M2&gt;=25,"Proceed with restrictions",IF(M2&gt;=15,"High concern; remediation required","Do not deploy")))</x:f>
        <x:v>Proceed with restrictions</x:v>
      </x:c>
    </x:row>
    <x:row r="118">
      <x:c r="M118" t="n">
        <x:f>SUM(C2:L2)</x:f>
        <x:v>25</x:v>
      </x:c>
      <x:c r="N118" t="str">
        <x:f>IF(M2&gt;=34,"Strong",IF(M2&gt;=25,"Proceed with restrictions",IF(M2&gt;=15,"High concern; remediation required","Do not deploy")))</x:f>
        <x:v>Proceed with restrictions</x:v>
      </x:c>
    </x:row>
    <x:row r="119">
      <x:c r="M119" t="n">
        <x:f>SUM(C2:L2)</x:f>
        <x:v>25</x:v>
      </x:c>
      <x:c r="N119" t="str">
        <x:f>IF(M2&gt;=34,"Strong",IF(M2&gt;=25,"Proceed with restrictions",IF(M2&gt;=15,"High concern; remediation required","Do not deploy")))</x:f>
        <x:v>Proceed with restrictions</x:v>
      </x:c>
    </x:row>
    <x:row r="120">
      <x:c r="M120" t="n">
        <x:f>SUM(C2:L2)</x:f>
        <x:v>25</x:v>
      </x:c>
      <x:c r="N120" t="str">
        <x:f>IF(M2&gt;=34,"Strong",IF(M2&gt;=25,"Proceed with restrictions",IF(M2&gt;=15,"High concern; remediation required","Do not deploy")))</x:f>
        <x:v>Proceed with restrictions</x:v>
      </x:c>
    </x:row>
    <x:row r="121">
      <x:c r="M121" t="n">
        <x:f>SUM(C2:L2)</x:f>
        <x:v>25</x:v>
      </x:c>
      <x:c r="N121" t="str">
        <x:f>IF(M2&gt;=34,"Strong",IF(M2&gt;=25,"Proceed with restrictions",IF(M2&gt;=15,"High concern; remediation required","Do not deploy")))</x:f>
        <x:v>Proceed with restrictions</x:v>
      </x:c>
    </x:row>
    <x:row r="122">
      <x:c r="M122" t="n">
        <x:f>SUM(C2:L2)</x:f>
        <x:v>25</x:v>
      </x:c>
      <x:c r="N122" t="str">
        <x:f>IF(M2&gt;=34,"Strong",IF(M2&gt;=25,"Proceed with restrictions",IF(M2&gt;=15,"High concern; remediation required","Do not deploy")))</x:f>
        <x:v>Proceed with restrictions</x:v>
      </x:c>
    </x:row>
    <x:row r="123">
      <x:c r="M123" t="n">
        <x:f>SUM(C2:L2)</x:f>
        <x:v>25</x:v>
      </x:c>
      <x:c r="N123" t="str">
        <x:f>IF(M2&gt;=34,"Strong",IF(M2&gt;=25,"Proceed with restrictions",IF(M2&gt;=15,"High concern; remediation required","Do not deploy")))</x:f>
        <x:v>Proceed with restrictions</x:v>
      </x:c>
    </x:row>
    <x:row r="124">
      <x:c r="M124" t="n">
        <x:f>SUM(C2:L2)</x:f>
        <x:v>25</x:v>
      </x:c>
      <x:c r="N124" t="str">
        <x:f>IF(M2&gt;=34,"Strong",IF(M2&gt;=25,"Proceed with restrictions",IF(M2&gt;=15,"High concern; remediation required","Do not deploy")))</x:f>
        <x:v>Proceed with restrictions</x:v>
      </x:c>
    </x:row>
    <x:row r="125">
      <x:c r="M125" t="n">
        <x:f>SUM(C2:L2)</x:f>
        <x:v>25</x:v>
      </x:c>
      <x:c r="N125" t="str">
        <x:f>IF(M2&gt;=34,"Strong",IF(M2&gt;=25,"Proceed with restrictions",IF(M2&gt;=15,"High concern; remediation required","Do not deploy")))</x:f>
        <x:v>Proceed with restrictions</x:v>
      </x:c>
    </x:row>
    <x:row r="126">
      <x:c r="M126" t="n">
        <x:f>SUM(C2:L2)</x:f>
        <x:v>25</x:v>
      </x:c>
      <x:c r="N126" t="str">
        <x:f>IF(M2&gt;=34,"Strong",IF(M2&gt;=25,"Proceed with restrictions",IF(M2&gt;=15,"High concern; remediation required","Do not deploy")))</x:f>
        <x:v>Proceed with restrictions</x:v>
      </x:c>
    </x:row>
    <x:row r="127">
      <x:c r="M127" t="n">
        <x:f>SUM(C2:L2)</x:f>
        <x:v>25</x:v>
      </x:c>
      <x:c r="N127" t="str">
        <x:f>IF(M2&gt;=34,"Strong",IF(M2&gt;=25,"Proceed with restrictions",IF(M2&gt;=15,"High concern; remediation required","Do not deploy")))</x:f>
        <x:v>Proceed with restrictions</x:v>
      </x:c>
    </x:row>
    <x:row r="128">
      <x:c r="M128" t="n">
        <x:f>SUM(C2:L2)</x:f>
        <x:v>25</x:v>
      </x:c>
      <x:c r="N128" t="str">
        <x:f>IF(M2&gt;=34,"Strong",IF(M2&gt;=25,"Proceed with restrictions",IF(M2&gt;=15,"High concern; remediation required","Do not deploy")))</x:f>
        <x:v>Proceed with restrictions</x:v>
      </x:c>
    </x:row>
    <x:row r="129">
      <x:c r="M129" t="n">
        <x:f>SUM(C2:L2)</x:f>
        <x:v>25</x:v>
      </x:c>
      <x:c r="N129" t="str">
        <x:f>IF(M2&gt;=34,"Strong",IF(M2&gt;=25,"Proceed with restrictions",IF(M2&gt;=15,"High concern; remediation required","Do not deploy")))</x:f>
        <x:v>Proceed with restrictions</x:v>
      </x:c>
    </x:row>
    <x:row r="130">
      <x:c r="M130" t="n">
        <x:f>SUM(C2:L2)</x:f>
        <x:v>25</x:v>
      </x:c>
      <x:c r="N130" t="str">
        <x:f>IF(M2&gt;=34,"Strong",IF(M2&gt;=25,"Proceed with restrictions",IF(M2&gt;=15,"High concern; remediation required","Do not deploy")))</x:f>
        <x:v>Proceed with restrictions</x:v>
      </x:c>
    </x:row>
    <x:row r="131">
      <x:c r="M131" t="n">
        <x:f>SUM(C2:L2)</x:f>
        <x:v>25</x:v>
      </x:c>
      <x:c r="N131" t="str">
        <x:f>IF(M2&gt;=34,"Strong",IF(M2&gt;=25,"Proceed with restrictions",IF(M2&gt;=15,"High concern; remediation required","Do not deploy")))</x:f>
        <x:v>Proceed with restrictions</x:v>
      </x:c>
    </x:row>
    <x:row r="132">
      <x:c r="M132" t="n">
        <x:f>SUM(C2:L2)</x:f>
        <x:v>25</x:v>
      </x:c>
      <x:c r="N132" t="str">
        <x:f>IF(M2&gt;=34,"Strong",IF(M2&gt;=25,"Proceed with restrictions",IF(M2&gt;=15,"High concern; remediation required","Do not deploy")))</x:f>
        <x:v>Proceed with restrictions</x:v>
      </x:c>
    </x:row>
    <x:row r="133">
      <x:c r="M133" t="n">
        <x:f>SUM(C2:L2)</x:f>
        <x:v>25</x:v>
      </x:c>
      <x:c r="N133" t="str">
        <x:f>IF(M2&gt;=34,"Strong",IF(M2&gt;=25,"Proceed with restrictions",IF(M2&gt;=15,"High concern; remediation required","Do not deploy")))</x:f>
        <x:v>Proceed with restrictions</x:v>
      </x:c>
    </x:row>
    <x:row r="134">
      <x:c r="M134" t="n">
        <x:f>SUM(C2:L2)</x:f>
        <x:v>25</x:v>
      </x:c>
      <x:c r="N134" t="str">
        <x:f>IF(M2&gt;=34,"Strong",IF(M2&gt;=25,"Proceed with restrictions",IF(M2&gt;=15,"High concern; remediation required","Do not deploy")))</x:f>
        <x:v>Proceed with restrictions</x:v>
      </x:c>
    </x:row>
    <x:row r="135">
      <x:c r="M135" t="n">
        <x:f>SUM(C2:L2)</x:f>
        <x:v>25</x:v>
      </x:c>
      <x:c r="N135" t="str">
        <x:f>IF(M2&gt;=34,"Strong",IF(M2&gt;=25,"Proceed with restrictions",IF(M2&gt;=15,"High concern; remediation required","Do not deploy")))</x:f>
        <x:v>Proceed with restrictions</x:v>
      </x:c>
    </x:row>
    <x:row r="136">
      <x:c r="M136" t="n">
        <x:f>SUM(C2:L2)</x:f>
        <x:v>25</x:v>
      </x:c>
      <x:c r="N136" t="str">
        <x:f>IF(M2&gt;=34,"Strong",IF(M2&gt;=25,"Proceed with restrictions",IF(M2&gt;=15,"High concern; remediation required","Do not deploy")))</x:f>
        <x:v>Proceed with restrictions</x:v>
      </x:c>
    </x:row>
    <x:row r="137">
      <x:c r="M137" t="n">
        <x:f>SUM(C2:L2)</x:f>
        <x:v>25</x:v>
      </x:c>
      <x:c r="N137" t="str">
        <x:f>IF(M2&gt;=34,"Strong",IF(M2&gt;=25,"Proceed with restrictions",IF(M2&gt;=15,"High concern; remediation required","Do not deploy")))</x:f>
        <x:v>Proceed with restrictions</x:v>
      </x:c>
    </x:row>
    <x:row r="138">
      <x:c r="M138" t="n">
        <x:f>SUM(C2:L2)</x:f>
        <x:v>25</x:v>
      </x:c>
      <x:c r="N138" t="str">
        <x:f>IF(M2&gt;=34,"Strong",IF(M2&gt;=25,"Proceed with restrictions",IF(M2&gt;=15,"High concern; remediation required","Do not deploy")))</x:f>
        <x:v>Proceed with restrictions</x:v>
      </x:c>
    </x:row>
    <x:row r="139">
      <x:c r="M139" t="n">
        <x:f>SUM(C2:L2)</x:f>
        <x:v>25</x:v>
      </x:c>
      <x:c r="N139" t="str">
        <x:f>IF(M2&gt;=34,"Strong",IF(M2&gt;=25,"Proceed with restrictions",IF(M2&gt;=15,"High concern; remediation required","Do not deploy")))</x:f>
        <x:v>Proceed with restrictions</x:v>
      </x:c>
    </x:row>
    <x:row r="140">
      <x:c r="M140" t="n">
        <x:f>SUM(C2:L2)</x:f>
        <x:v>25</x:v>
      </x:c>
      <x:c r="N140" t="str">
        <x:f>IF(M2&gt;=34,"Strong",IF(M2&gt;=25,"Proceed with restrictions",IF(M2&gt;=15,"High concern; remediation required","Do not deploy")))</x:f>
        <x:v>Proceed with restrictions</x:v>
      </x:c>
    </x:row>
    <x:row r="141">
      <x:c r="M141" t="n">
        <x:f>SUM(C2:L2)</x:f>
        <x:v>25</x:v>
      </x:c>
      <x:c r="N141" t="str">
        <x:f>IF(M2&gt;=34,"Strong",IF(M2&gt;=25,"Proceed with restrictions",IF(M2&gt;=15,"High concern; remediation required","Do not deploy")))</x:f>
        <x:v>Proceed with restrictions</x:v>
      </x:c>
    </x:row>
    <x:row r="142">
      <x:c r="M142" t="n">
        <x:f>SUM(C2:L2)</x:f>
        <x:v>25</x:v>
      </x:c>
      <x:c r="N142" t="str">
        <x:f>IF(M2&gt;=34,"Strong",IF(M2&gt;=25,"Proceed with restrictions",IF(M2&gt;=15,"High concern; remediation required","Do not deploy")))</x:f>
        <x:v>Proceed with restrictions</x:v>
      </x:c>
    </x:row>
    <x:row r="143">
      <x:c r="M143" t="n">
        <x:f>SUM(C2:L2)</x:f>
        <x:v>25</x:v>
      </x:c>
      <x:c r="N143" t="str">
        <x:f>IF(M2&gt;=34,"Strong",IF(M2&gt;=25,"Proceed with restrictions",IF(M2&gt;=15,"High concern; remediation required","Do not deploy")))</x:f>
        <x:v>Proceed with restrictions</x:v>
      </x:c>
    </x:row>
    <x:row r="144">
      <x:c r="M144" t="n">
        <x:f>SUM(C2:L2)</x:f>
        <x:v>25</x:v>
      </x:c>
      <x:c r="N144" t="str">
        <x:f>IF(M2&gt;=34,"Strong",IF(M2&gt;=25,"Proceed with restrictions",IF(M2&gt;=15,"High concern; remediation required","Do not deploy")))</x:f>
        <x:v>Proceed with restrictions</x:v>
      </x:c>
    </x:row>
    <x:row r="145">
      <x:c r="M145" t="n">
        <x:f>SUM(C2:L2)</x:f>
        <x:v>25</x:v>
      </x:c>
      <x:c r="N145" t="str">
        <x:f>IF(M2&gt;=34,"Strong",IF(M2&gt;=25,"Proceed with restrictions",IF(M2&gt;=15,"High concern; remediation required","Do not deploy")))</x:f>
        <x:v>Proceed with restrictions</x:v>
      </x:c>
    </x:row>
    <x:row r="146">
      <x:c r="M146" t="n">
        <x:f>SUM(C2:L2)</x:f>
        <x:v>25</x:v>
      </x:c>
      <x:c r="N146" t="str">
        <x:f>IF(M2&gt;=34,"Strong",IF(M2&gt;=25,"Proceed with restrictions",IF(M2&gt;=15,"High concern; remediation required","Do not deploy")))</x:f>
        <x:v>Proceed with restrictions</x:v>
      </x:c>
    </x:row>
    <x:row r="147">
      <x:c r="M147" t="n">
        <x:f>SUM(C2:L2)</x:f>
        <x:v>25</x:v>
      </x:c>
      <x:c r="N147" t="str">
        <x:f>IF(M2&gt;=34,"Strong",IF(M2&gt;=25,"Proceed with restrictions",IF(M2&gt;=15,"High concern; remediation required","Do not deploy")))</x:f>
        <x:v>Proceed with restrictions</x:v>
      </x:c>
    </x:row>
    <x:row r="148">
      <x:c r="M148" t="n">
        <x:f>SUM(C2:L2)</x:f>
        <x:v>25</x:v>
      </x:c>
      <x:c r="N148" t="str">
        <x:f>IF(M2&gt;=34,"Strong",IF(M2&gt;=25,"Proceed with restrictions",IF(M2&gt;=15,"High concern; remediation required","Do not deploy")))</x:f>
        <x:v>Proceed with restrictions</x:v>
      </x:c>
    </x:row>
    <x:row r="149">
      <x:c r="M149" t="n">
        <x:f>SUM(C2:L2)</x:f>
        <x:v>25</x:v>
      </x:c>
      <x:c r="N149" t="str">
        <x:f>IF(M2&gt;=34,"Strong",IF(M2&gt;=25,"Proceed with restrictions",IF(M2&gt;=15,"High concern; remediation required","Do not deploy")))</x:f>
        <x:v>Proceed with restrictions</x:v>
      </x:c>
    </x:row>
    <x:row r="150">
      <x:c r="M150" t="n">
        <x:f>SUM(C2:L2)</x:f>
        <x:v>25</x:v>
      </x:c>
      <x:c r="N150" t="str">
        <x:f>IF(M2&gt;=34,"Strong",IF(M2&gt;=25,"Proceed with restrictions",IF(M2&gt;=15,"High concern; remediation required","Do not deploy")))</x:f>
        <x:v>Proceed with restrictions</x:v>
      </x:c>
    </x:row>
    <x:row r="151">
      <x:c r="M151" t="n">
        <x:f>SUM(C2:L2)</x:f>
        <x:v>25</x:v>
      </x:c>
      <x:c r="N151" t="str">
        <x:f>IF(M2&gt;=34,"Strong",IF(M2&gt;=25,"Proceed with restrictions",IF(M2&gt;=15,"High concern; remediation required","Do not deploy")))</x:f>
        <x:v>Proceed with restrictions</x:v>
      </x:c>
    </x:row>
    <x:row r="152">
      <x:c r="M152" t="n">
        <x:f>SUM(C2:L2)</x:f>
        <x:v>25</x:v>
      </x:c>
      <x:c r="N152" t="str">
        <x:f>IF(M2&gt;=34,"Strong",IF(M2&gt;=25,"Proceed with restrictions",IF(M2&gt;=15,"High concern; remediation required","Do not deploy")))</x:f>
        <x:v>Proceed with restrictions</x:v>
      </x:c>
    </x:row>
    <x:row r="153">
      <x:c r="M153" t="n">
        <x:f>SUM(C2:L2)</x:f>
        <x:v>25</x:v>
      </x:c>
      <x:c r="N153" t="str">
        <x:f>IF(M2&gt;=34,"Strong",IF(M2&gt;=25,"Proceed with restrictions",IF(M2&gt;=15,"High concern; remediation required","Do not deploy")))</x:f>
        <x:v>Proceed with restrictions</x:v>
      </x:c>
    </x:row>
    <x:row r="154">
      <x:c r="M154" t="n">
        <x:f>SUM(C2:L2)</x:f>
        <x:v>25</x:v>
      </x:c>
      <x:c r="N154" t="str">
        <x:f>IF(M2&gt;=34,"Strong",IF(M2&gt;=25,"Proceed with restrictions",IF(M2&gt;=15,"High concern; remediation required","Do not deploy")))</x:f>
        <x:v>Proceed with restrictions</x:v>
      </x:c>
    </x:row>
    <x:row r="155">
      <x:c r="M155" t="n">
        <x:f>SUM(C2:L2)</x:f>
        <x:v>25</x:v>
      </x:c>
      <x:c r="N155" t="str">
        <x:f>IF(M2&gt;=34,"Strong",IF(M2&gt;=25,"Proceed with restrictions",IF(M2&gt;=15,"High concern; remediation required","Do not deploy")))</x:f>
        <x:v>Proceed with restrictions</x:v>
      </x:c>
    </x:row>
    <x:row r="156">
      <x:c r="M156" t="n">
        <x:f>SUM(C2:L2)</x:f>
        <x:v>25</x:v>
      </x:c>
      <x:c r="N156" t="str">
        <x:f>IF(M2&gt;=34,"Strong",IF(M2&gt;=25,"Proceed with restrictions",IF(M2&gt;=15,"High concern; remediation required","Do not deploy")))</x:f>
        <x:v>Proceed with restrictions</x:v>
      </x:c>
    </x:row>
    <x:row r="157">
      <x:c r="M157" t="n">
        <x:f>SUM(C2:L2)</x:f>
        <x:v>25</x:v>
      </x:c>
      <x:c r="N157" t="str">
        <x:f>IF(M2&gt;=34,"Strong",IF(M2&gt;=25,"Proceed with restrictions",IF(M2&gt;=15,"High concern; remediation required","Do not deploy")))</x:f>
        <x:v>Proceed with restrictions</x:v>
      </x:c>
    </x:row>
    <x:row r="158">
      <x:c r="M158" t="n">
        <x:f>SUM(C2:L2)</x:f>
        <x:v>25</x:v>
      </x:c>
      <x:c r="N158" t="str">
        <x:f>IF(M2&gt;=34,"Strong",IF(M2&gt;=25,"Proceed with restrictions",IF(M2&gt;=15,"High concern; remediation required","Do not deploy")))</x:f>
        <x:v>Proceed with restrictions</x:v>
      </x:c>
    </x:row>
    <x:row r="159">
      <x:c r="M159" t="n">
        <x:f>SUM(C2:L2)</x:f>
        <x:v>25</x:v>
      </x:c>
      <x:c r="N159" t="str">
        <x:f>IF(M2&gt;=34,"Strong",IF(M2&gt;=25,"Proceed with restrictions",IF(M2&gt;=15,"High concern; remediation required","Do not deploy")))</x:f>
        <x:v>Proceed with restrictions</x:v>
      </x:c>
    </x:row>
    <x:row r="160">
      <x:c r="M160" t="n">
        <x:f>SUM(C2:L2)</x:f>
        <x:v>25</x:v>
      </x:c>
      <x:c r="N160" t="str">
        <x:f>IF(M2&gt;=34,"Strong",IF(M2&gt;=25,"Proceed with restrictions",IF(M2&gt;=15,"High concern; remediation required","Do not deploy")))</x:f>
        <x:v>Proceed with restrictions</x:v>
      </x:c>
    </x:row>
    <x:row r="161">
      <x:c r="M161" t="n">
        <x:f>SUM(C2:L2)</x:f>
        <x:v>25</x:v>
      </x:c>
      <x:c r="N161" t="str">
        <x:f>IF(M2&gt;=34,"Strong",IF(M2&gt;=25,"Proceed with restrictions",IF(M2&gt;=15,"High concern; remediation required","Do not deploy")))</x:f>
        <x:v>Proceed with restrictions</x:v>
      </x:c>
    </x:row>
    <x:row r="162">
      <x:c r="M162" t="n">
        <x:f>SUM(C2:L2)</x:f>
        <x:v>25</x:v>
      </x:c>
      <x:c r="N162" t="str">
        <x:f>IF(M2&gt;=34,"Strong",IF(M2&gt;=25,"Proceed with restrictions",IF(M2&gt;=15,"High concern; remediation required","Do not deploy")))</x:f>
        <x:v>Proceed with restrictions</x:v>
      </x:c>
    </x:row>
    <x:row r="163">
      <x:c r="M163" t="n">
        <x:f>SUM(C2:L2)</x:f>
        <x:v>25</x:v>
      </x:c>
      <x:c r="N163" t="str">
        <x:f>IF(M2&gt;=34,"Strong",IF(M2&gt;=25,"Proceed with restrictions",IF(M2&gt;=15,"High concern; remediation required","Do not deploy")))</x:f>
        <x:v>Proceed with restrictions</x:v>
      </x:c>
    </x:row>
    <x:row r="164">
      <x:c r="M164" t="n">
        <x:f>SUM(C2:L2)</x:f>
        <x:v>25</x:v>
      </x:c>
      <x:c r="N164" t="str">
        <x:f>IF(M2&gt;=34,"Strong",IF(M2&gt;=25,"Proceed with restrictions",IF(M2&gt;=15,"High concern; remediation required","Do not deploy")))</x:f>
        <x:v>Proceed with restrictions</x:v>
      </x:c>
    </x:row>
    <x:row r="165">
      <x:c r="M165" t="n">
        <x:f>SUM(C2:L2)</x:f>
        <x:v>25</x:v>
      </x:c>
      <x:c r="N165" t="str">
        <x:f>IF(M2&gt;=34,"Strong",IF(M2&gt;=25,"Proceed with restrictions",IF(M2&gt;=15,"High concern; remediation required","Do not deploy")))</x:f>
        <x:v>Proceed with restrictions</x:v>
      </x:c>
    </x:row>
    <x:row r="166">
      <x:c r="M166" t="n">
        <x:f>SUM(C2:L2)</x:f>
        <x:v>25</x:v>
      </x:c>
      <x:c r="N166" t="str">
        <x:f>IF(M2&gt;=34,"Strong",IF(M2&gt;=25,"Proceed with restrictions",IF(M2&gt;=15,"High concern; remediation required","Do not deploy")))</x:f>
        <x:v>Proceed with restrictions</x:v>
      </x:c>
    </x:row>
    <x:row r="167">
      <x:c r="M167" t="n">
        <x:f>SUM(C2:L2)</x:f>
        <x:v>25</x:v>
      </x:c>
      <x:c r="N167" t="str">
        <x:f>IF(M2&gt;=34,"Strong",IF(M2&gt;=25,"Proceed with restrictions",IF(M2&gt;=15,"High concern; remediation required","Do not deploy")))</x:f>
        <x:v>Proceed with restrictions</x:v>
      </x:c>
    </x:row>
    <x:row r="168">
      <x:c r="M168" t="n">
        <x:f>SUM(C2:L2)</x:f>
        <x:v>25</x:v>
      </x:c>
      <x:c r="N168" t="str">
        <x:f>IF(M2&gt;=34,"Strong",IF(M2&gt;=25,"Proceed with restrictions",IF(M2&gt;=15,"High concern; remediation required","Do not deploy")))</x:f>
        <x:v>Proceed with restrictions</x:v>
      </x:c>
    </x:row>
    <x:row r="169">
      <x:c r="M169" t="n">
        <x:f>SUM(C2:L2)</x:f>
        <x:v>25</x:v>
      </x:c>
      <x:c r="N169" t="str">
        <x:f>IF(M2&gt;=34,"Strong",IF(M2&gt;=25,"Proceed with restrictions",IF(M2&gt;=15,"High concern; remediation required","Do not deploy")))</x:f>
        <x:v>Proceed with restrictions</x:v>
      </x:c>
    </x:row>
    <x:row r="170">
      <x:c r="M170" t="n">
        <x:f>SUM(C2:L2)</x:f>
        <x:v>25</x:v>
      </x:c>
      <x:c r="N170" t="str">
        <x:f>IF(M2&gt;=34,"Strong",IF(M2&gt;=25,"Proceed with restrictions",IF(M2&gt;=15,"High concern; remediation required","Do not deploy")))</x:f>
        <x:v>Proceed with restrictions</x:v>
      </x:c>
    </x:row>
    <x:row r="171">
      <x:c r="M171" t="n">
        <x:f>SUM(C2:L2)</x:f>
        <x:v>25</x:v>
      </x:c>
      <x:c r="N171" t="str">
        <x:f>IF(M2&gt;=34,"Strong",IF(M2&gt;=25,"Proceed with restrictions",IF(M2&gt;=15,"High concern; remediation required","Do not deploy")))</x:f>
        <x:v>Proceed with restrictions</x:v>
      </x:c>
    </x:row>
    <x:row r="172">
      <x:c r="M172" t="n">
        <x:f>SUM(C2:L2)</x:f>
        <x:v>25</x:v>
      </x:c>
      <x:c r="N172" t="str">
        <x:f>IF(M2&gt;=34,"Strong",IF(M2&gt;=25,"Proceed with restrictions",IF(M2&gt;=15,"High concern; remediation required","Do not deploy")))</x:f>
        <x:v>Proceed with restrictions</x:v>
      </x:c>
    </x:row>
    <x:row r="173">
      <x:c r="M173" t="n">
        <x:f>SUM(C2:L2)</x:f>
        <x:v>25</x:v>
      </x:c>
      <x:c r="N173" t="str">
        <x:f>IF(M2&gt;=34,"Strong",IF(M2&gt;=25,"Proceed with restrictions",IF(M2&gt;=15,"High concern; remediation required","Do not deploy")))</x:f>
        <x:v>Proceed with restrictions</x:v>
      </x:c>
    </x:row>
    <x:row r="174">
      <x:c r="M174" t="n">
        <x:f>SUM(C2:L2)</x:f>
        <x:v>25</x:v>
      </x:c>
      <x:c r="N174" t="str">
        <x:f>IF(M2&gt;=34,"Strong",IF(M2&gt;=25,"Proceed with restrictions",IF(M2&gt;=15,"High concern; remediation required","Do not deploy")))</x:f>
        <x:v>Proceed with restrictions</x:v>
      </x:c>
    </x:row>
    <x:row r="175">
      <x:c r="M175" t="n">
        <x:f>SUM(C2:L2)</x:f>
        <x:v>25</x:v>
      </x:c>
      <x:c r="N175" t="str">
        <x:f>IF(M2&gt;=34,"Strong",IF(M2&gt;=25,"Proceed with restrictions",IF(M2&gt;=15,"High concern; remediation required","Do not deploy")))</x:f>
        <x:v>Proceed with restrictions</x:v>
      </x:c>
    </x:row>
    <x:row r="176">
      <x:c r="M176" t="n">
        <x:f>SUM(C2:L2)</x:f>
        <x:v>25</x:v>
      </x:c>
      <x:c r="N176" t="str">
        <x:f>IF(M2&gt;=34,"Strong",IF(M2&gt;=25,"Proceed with restrictions",IF(M2&gt;=15,"High concern; remediation required","Do not deploy")))</x:f>
        <x:v>Proceed with restrictions</x:v>
      </x:c>
    </x:row>
    <x:row r="177">
      <x:c r="M177" t="n">
        <x:f>SUM(C2:L2)</x:f>
        <x:v>25</x:v>
      </x:c>
      <x:c r="N177" t="str">
        <x:f>IF(M2&gt;=34,"Strong",IF(M2&gt;=25,"Proceed with restrictions",IF(M2&gt;=15,"High concern; remediation required","Do not deploy")))</x:f>
        <x:v>Proceed with restrictions</x:v>
      </x:c>
    </x:row>
    <x:row r="178">
      <x:c r="M178" t="n">
        <x:f>SUM(C2:L2)</x:f>
        <x:v>25</x:v>
      </x:c>
      <x:c r="N178" t="str">
        <x:f>IF(M2&gt;=34,"Strong",IF(M2&gt;=25,"Proceed with restrictions",IF(M2&gt;=15,"High concern; remediation required","Do not deploy")))</x:f>
        <x:v>Proceed with restrictions</x:v>
      </x:c>
    </x:row>
    <x:row r="179">
      <x:c r="M179" t="n">
        <x:f>SUM(C2:L2)</x:f>
        <x:v>25</x:v>
      </x:c>
      <x:c r="N179" t="str">
        <x:f>IF(M2&gt;=34,"Strong",IF(M2&gt;=25,"Proceed with restrictions",IF(M2&gt;=15,"High concern; remediation required","Do not deploy")))</x:f>
        <x:v>Proceed with restrictions</x:v>
      </x:c>
    </x:row>
    <x:row r="180">
      <x:c r="M180" t="n">
        <x:f>SUM(C2:L2)</x:f>
        <x:v>25</x:v>
      </x:c>
      <x:c r="N180" t="str">
        <x:f>IF(M2&gt;=34,"Strong",IF(M2&gt;=25,"Proceed with restrictions",IF(M2&gt;=15,"High concern; remediation required","Do not deploy")))</x:f>
        <x:v>Proceed with restrictions</x:v>
      </x:c>
    </x:row>
    <x:row r="181">
      <x:c r="M181" t="n">
        <x:f>SUM(C2:L2)</x:f>
        <x:v>25</x:v>
      </x:c>
      <x:c r="N181" t="str">
        <x:f>IF(M2&gt;=34,"Strong",IF(M2&gt;=25,"Proceed with restrictions",IF(M2&gt;=15,"High concern; remediation required","Do not deploy")))</x:f>
        <x:v>Proceed with restrictions</x:v>
      </x:c>
    </x:row>
    <x:row r="182">
      <x:c r="M182" t="n">
        <x:f>SUM(C2:L2)</x:f>
        <x:v>25</x:v>
      </x:c>
      <x:c r="N182" t="str">
        <x:f>IF(M2&gt;=34,"Strong",IF(M2&gt;=25,"Proceed with restrictions",IF(M2&gt;=15,"High concern; remediation required","Do not deploy")))</x:f>
        <x:v>Proceed with restrictions</x:v>
      </x:c>
    </x:row>
    <x:row r="183">
      <x:c r="M183" t="n">
        <x:f>SUM(C2:L2)</x:f>
        <x:v>25</x:v>
      </x:c>
      <x:c r="N183" t="str">
        <x:f>IF(M2&gt;=34,"Strong",IF(M2&gt;=25,"Proceed with restrictions",IF(M2&gt;=15,"High concern; remediation required","Do not deploy")))</x:f>
        <x:v>Proceed with restrictions</x:v>
      </x:c>
    </x:row>
    <x:row r="184">
      <x:c r="M184" t="n">
        <x:f>SUM(C2:L2)</x:f>
        <x:v>25</x:v>
      </x:c>
      <x:c r="N184" t="str">
        <x:f>IF(M2&gt;=34,"Strong",IF(M2&gt;=25,"Proceed with restrictions",IF(M2&gt;=15,"High concern; remediation required","Do not deploy")))</x:f>
        <x:v>Proceed with restrictions</x:v>
      </x:c>
    </x:row>
    <x:row r="185">
      <x:c r="M185" t="n">
        <x:f>SUM(C2:L2)</x:f>
        <x:v>25</x:v>
      </x:c>
      <x:c r="N185" t="str">
        <x:f>IF(M2&gt;=34,"Strong",IF(M2&gt;=25,"Proceed with restrictions",IF(M2&gt;=15,"High concern; remediation required","Do not deploy")))</x:f>
        <x:v>Proceed with restrictions</x:v>
      </x:c>
    </x:row>
    <x:row r="186">
      <x:c r="M186" t="n">
        <x:f>SUM(C2:L2)</x:f>
        <x:v>25</x:v>
      </x:c>
      <x:c r="N186" t="str">
        <x:f>IF(M2&gt;=34,"Strong",IF(M2&gt;=25,"Proceed with restrictions",IF(M2&gt;=15,"High concern; remediation required","Do not deploy")))</x:f>
        <x:v>Proceed with restrictions</x:v>
      </x:c>
    </x:row>
    <x:row r="187">
      <x:c r="M187" t="n">
        <x:f>SUM(C2:L2)</x:f>
        <x:v>25</x:v>
      </x:c>
      <x:c r="N187" t="str">
        <x:f>IF(M2&gt;=34,"Strong",IF(M2&gt;=25,"Proceed with restrictions",IF(M2&gt;=15,"High concern; remediation required","Do not deploy")))</x:f>
        <x:v>Proceed with restrictions</x:v>
      </x:c>
    </x:row>
    <x:row r="188">
      <x:c r="M188" t="n">
        <x:f>SUM(C2:L2)</x:f>
        <x:v>25</x:v>
      </x:c>
      <x:c r="N188" t="str">
        <x:f>IF(M2&gt;=34,"Strong",IF(M2&gt;=25,"Proceed with restrictions",IF(M2&gt;=15,"High concern; remediation required","Do not deploy")))</x:f>
        <x:v>Proceed with restrictions</x:v>
      </x:c>
    </x:row>
    <x:row r="189">
      <x:c r="M189" t="n">
        <x:f>SUM(C2:L2)</x:f>
        <x:v>25</x:v>
      </x:c>
      <x:c r="N189" t="str">
        <x:f>IF(M2&gt;=34,"Strong",IF(M2&gt;=25,"Proceed with restrictions",IF(M2&gt;=15,"High concern; remediation required","Do not deploy")))</x:f>
        <x:v>Proceed with restrictions</x:v>
      </x:c>
    </x:row>
    <x:row r="190">
      <x:c r="M190" t="n">
        <x:f>SUM(C2:L2)</x:f>
        <x:v>25</x:v>
      </x:c>
      <x:c r="N190" t="str">
        <x:f>IF(M2&gt;=34,"Strong",IF(M2&gt;=25,"Proceed with restrictions",IF(M2&gt;=15,"High concern; remediation required","Do not deploy")))</x:f>
        <x:v>Proceed with restrictions</x:v>
      </x:c>
    </x:row>
    <x:row r="191">
      <x:c r="M191" t="n">
        <x:f>SUM(C2:L2)</x:f>
        <x:v>25</x:v>
      </x:c>
      <x:c r="N191" t="str">
        <x:f>IF(M2&gt;=34,"Strong",IF(M2&gt;=25,"Proceed with restrictions",IF(M2&gt;=15,"High concern; remediation required","Do not deploy")))</x:f>
        <x:v>Proceed with restrictions</x:v>
      </x:c>
    </x:row>
    <x:row r="192">
      <x:c r="M192" t="n">
        <x:f>SUM(C2:L2)</x:f>
        <x:v>25</x:v>
      </x:c>
      <x:c r="N192" t="str">
        <x:f>IF(M2&gt;=34,"Strong",IF(M2&gt;=25,"Proceed with restrictions",IF(M2&gt;=15,"High concern; remediation required","Do not deploy")))</x:f>
        <x:v>Proceed with restrictions</x:v>
      </x:c>
    </x:row>
    <x:row r="193">
      <x:c r="M193" t="n">
        <x:f>SUM(C2:L2)</x:f>
        <x:v>25</x:v>
      </x:c>
      <x:c r="N193" t="str">
        <x:f>IF(M2&gt;=34,"Strong",IF(M2&gt;=25,"Proceed with restrictions",IF(M2&gt;=15,"High concern; remediation required","Do not deploy")))</x:f>
        <x:v>Proceed with restrictions</x:v>
      </x:c>
    </x:row>
    <x:row r="194">
      <x:c r="M194" t="n">
        <x:f>SUM(C2:L2)</x:f>
        <x:v>25</x:v>
      </x:c>
      <x:c r="N194" t="str">
        <x:f>IF(M2&gt;=34,"Strong",IF(M2&gt;=25,"Proceed with restrictions",IF(M2&gt;=15,"High concern; remediation required","Do not deploy")))</x:f>
        <x:v>Proceed with restrictions</x:v>
      </x:c>
    </x:row>
    <x:row r="195">
      <x:c r="M195" t="n">
        <x:f>SUM(C2:L2)</x:f>
        <x:v>25</x:v>
      </x:c>
      <x:c r="N195" t="str">
        <x:f>IF(M2&gt;=34,"Strong",IF(M2&gt;=25,"Proceed with restrictions",IF(M2&gt;=15,"High concern; remediation required","Do not deploy")))</x:f>
        <x:v>Proceed with restrictions</x:v>
      </x:c>
    </x:row>
    <x:row r="196">
      <x:c r="M196" t="n">
        <x:f>SUM(C2:L2)</x:f>
        <x:v>25</x:v>
      </x:c>
      <x:c r="N196" t="str">
        <x:f>IF(M2&gt;=34,"Strong",IF(M2&gt;=25,"Proceed with restrictions",IF(M2&gt;=15,"High concern; remediation required","Do not deploy")))</x:f>
        <x:v>Proceed with restrictions</x:v>
      </x:c>
    </x:row>
    <x:row r="197">
      <x:c r="M197" t="n">
        <x:f>SUM(C2:L2)</x:f>
        <x:v>25</x:v>
      </x:c>
      <x:c r="N197" t="str">
        <x:f>IF(M2&gt;=34,"Strong",IF(M2&gt;=25,"Proceed with restrictions",IF(M2&gt;=15,"High concern; remediation required","Do not deploy")))</x:f>
        <x:v>Proceed with restrictions</x:v>
      </x:c>
    </x:row>
    <x:row r="198">
      <x:c r="M198" t="n">
        <x:f>SUM(C2:L2)</x:f>
        <x:v>25</x:v>
      </x:c>
      <x:c r="N198" t="str">
        <x:f>IF(M2&gt;=34,"Strong",IF(M2&gt;=25,"Proceed with restrictions",IF(M2&gt;=15,"High concern; remediation required","Do not deploy")))</x:f>
        <x:v>Proceed with restrictions</x:v>
      </x:c>
    </x:row>
    <x:row r="199">
      <x:c r="M199" t="n">
        <x:f>SUM(C2:L2)</x:f>
        <x:v>25</x:v>
      </x:c>
      <x:c r="N199" t="str">
        <x:f>IF(M2&gt;=34,"Strong",IF(M2&gt;=25,"Proceed with restrictions",IF(M2&gt;=15,"High concern; remediation required","Do not deploy")))</x:f>
        <x:v>Proceed with restrictions</x:v>
      </x:c>
    </x:row>
    <x:row r="200">
      <x:c r="M200" t="n">
        <x:f>SUM(C2:L2)</x:f>
        <x:v>25</x:v>
      </x:c>
      <x:c r="N200" t="str">
        <x:f>IF(M2&gt;=34,"Strong",IF(M2&gt;=25,"Proceed with restrictions",IF(M2&gt;=15,"High concern; remediation required","Do not deploy")))</x:f>
        <x:v>Proceed with restrictions</x:v>
      </x:c>
    </x:row>
  </x:sheetData>
  <x:dataValidations count="1">
    <x:dataValidation type="list" sqref="C2:L200">
      <x:formula1>Lists!$E$2:$E$6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defe0e93ee42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34" hidden="0" customWidth="1"/>
    <x:col min="8" max="8" width="22" hidden="0" customWidth="1"/>
    <x:col min="9" max="9" width="35" hidden="0" customWidth="1"/>
  </x:cols>
  <x:sheetData>
    <x:row r="1" ht="30" customHeight="1">
      <x:c r="A1" s="6" t="str">
        <x:v>Agent Name</x:v>
      </x:c>
      <x:c r="B1" s="6" t="str">
        <x:v>Permission Type</x:v>
      </x:c>
      <x:c r="C1" s="6" t="str">
        <x:v>Default Position</x:v>
      </x:c>
      <x:c r="D1" s="6" t="str">
        <x:v>Requested Access</x:v>
      </x:c>
      <x:c r="E1" s="6" t="str">
        <x:v>Approval Required?</x:v>
      </x:c>
      <x:c r="F1" s="6" t="str">
        <x:v>Approver</x:v>
      </x:c>
      <x:c r="G1" s="6" t="str">
        <x:v>Control Required</x:v>
      </x:c>
      <x:c r="H1" s="6" t="str">
        <x:v>Decision</x:v>
      </x:c>
      <x:c r="I1" s="6" t="str">
        <x:v>Notes</x:v>
      </x:c>
    </x:row>
    <x:row r="2">
      <x:c r="A2" t="str">
        <x:v>Research Agent</x:v>
      </x:c>
      <x:c r="B2" t="str">
        <x:v>Read public web</x:v>
      </x:c>
      <x:c r="C2" t="str">
        <x:v>Allowed with logging</x:v>
      </x:c>
      <x:c r="D2" t="str">
        <x:v>Yes</x:v>
      </x:c>
      <x:c r="E2" t="str">
        <x:v>No</x:v>
      </x:c>
      <x:c r="F2" t="str">
        <x:v>Owner</x:v>
      </x:c>
      <x:c r="G2" t="str">
        <x:v>Logging</x:v>
      </x:c>
      <x:c r="H2" t="str">
        <x:v>Approved</x:v>
      </x:c>
      <x:c r="I2" t="str">
        <x:v>Limit domains if needed</x:v>
      </x:c>
    </x:row>
    <x:row r="3">
      <x:c r="A3" t="str">
        <x:v>Research Agent</x:v>
      </x:c>
      <x:c r="B3" t="str">
        <x:v>Read internal non-sensitive docs</x:v>
      </x:c>
      <x:c r="C3" t="str">
        <x:v>Restricted</x:v>
      </x:c>
      <x:c r="D3" t="str">
        <x:v>Yes</x:v>
      </x:c>
      <x:c r="E3" t="str">
        <x:v>Yes</x:v>
      </x:c>
      <x:c r="F3" t="str">
        <x:v>Data Owner</x:v>
      </x:c>
      <x:c r="G3" t="str">
        <x:v>Logging + scope restriction</x:v>
      </x:c>
      <x:c r="H3" t="str">
        <x:v>Approved with restrictions</x:v>
      </x:c>
      <x:c r="I3" t="str"/>
    </x:row>
    <x:row r="4">
      <x:c r="A4" t="str">
        <x:v>Research Agent</x:v>
      </x:c>
      <x:c r="B4" t="str">
        <x:v>Read sensitive data</x:v>
      </x:c>
      <x:c r="C4" t="str">
        <x:v>Prohibited by default</x:v>
      </x:c>
      <x:c r="D4" t="str">
        <x:v>No</x:v>
      </x:c>
      <x:c r="E4" t="str">
        <x:v>Yes</x:v>
      </x:c>
      <x:c r="F4" t="str">
        <x:v>Executive/Data Owner</x:v>
      </x:c>
      <x:c r="G4" t="str">
        <x:v>Data protection + monitoring</x:v>
      </x:c>
      <x:c r="H4" t="str">
        <x:v>Rejected</x:v>
      </x:c>
      <x:c r="I4" t="str">
        <x:v>No approved need</x:v>
      </x:c>
    </x:row>
    <x:row r="5">
      <x:c r="A5" t="str">
        <x:v>Workflow Agent</x:v>
      </x:c>
      <x:c r="B5" t="str">
        <x:v>Modify production systems</x:v>
      </x:c>
      <x:c r="C5" t="str">
        <x:v>Prohibited by default</x:v>
      </x:c>
      <x:c r="D5" t="str">
        <x:v>Yes</x:v>
      </x:c>
      <x:c r="E5" t="str">
        <x:v>Yes</x:v>
      </x:c>
      <x:c r="F5" t="str">
        <x:v>Executive/Security</x:v>
      </x:c>
      <x:c r="G5" t="str">
        <x:v>Sandbox + change control + rollback</x:v>
      </x:c>
      <x:c r="H5" t="str">
        <x:v>More evidence required</x:v>
      </x:c>
      <x:c r="I5" t="str">
        <x:v>Critical control</x:v>
      </x:c>
    </x:row>
    <x:row r="6">
      <x:c r="A6" t="str">
        <x:v>Workflow Agent</x:v>
      </x:c>
      <x:c r="B6" t="str">
        <x:v>Self-modify</x:v>
      </x:c>
      <x:c r="C6" t="str">
        <x:v>Prohibited</x:v>
      </x:c>
      <x:c r="D6" t="str">
        <x:v>No</x:v>
      </x:c>
      <x:c r="E6" t="str">
        <x:v>No routine approval</x:v>
      </x:c>
      <x:c r="F6" t="str">
        <x:v>Board</x:v>
      </x:c>
      <x:c r="G6" t="str">
        <x:v>Frontier review</x:v>
      </x:c>
      <x:c r="H6" t="str">
        <x:v>Rejected</x:v>
      </x:c>
      <x:c r="I6" t="str"/>
    </x:row>
  </x:sheetData>
  <x:dataValidations count="2">
    <x:dataValidation type="list" sqref="D2:E200">
      <x:formula1>Lists!$C$2:$C$3</x:formula1>
    </x:dataValidation>
    <x:dataValidation type="list" sqref="H2:H200">
      <x:formula1>Lists!$D$2:$D$7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bcc8c8ccdc484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0" hidden="0" customWidth="1"/>
    <x:col min="5" max="5" width="20" hidden="0" customWidth="1"/>
    <x:col min="6" max="6" width="12" hidden="0" customWidth="1"/>
    <x:col min="7" max="7" width="18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6" hidden="0" customWidth="1"/>
  </x:cols>
  <x:sheetData>
    <x:row r="1" ht="30" customHeight="1">
      <x:c r="A1" s="6" t="str">
        <x:v>Incident ID</x:v>
      </x:c>
      <x:c r="B1" s="6" t="str">
        <x:v>Date</x:v>
      </x:c>
      <x:c r="C1" s="6" t="str">
        <x:v>System ID</x:v>
      </x:c>
      <x:c r="D1" s="6" t="str">
        <x:v>Incident Type</x:v>
      </x:c>
      <x:c r="E1" s="6" t="str">
        <x:v>Severity</x:v>
      </x:c>
      <x:c r="F1" s="6" t="str">
        <x:v>Contained?</x:v>
      </x:c>
      <x:c r="G1" s="6" t="str">
        <x:v>Owner</x:v>
      </x:c>
      <x:c r="H1" s="6" t="str">
        <x:v>Impact Summary</x:v>
      </x:c>
      <x:c r="I1" s="6" t="str">
        <x:v>Immediate Action</x:v>
      </x:c>
      <x:c r="J1" s="6" t="str">
        <x:v>Root Cause</x:v>
      </x:c>
      <x:c r="K1" s="6" t="str">
        <x:v>Corrective Action</x:v>
      </x:c>
      <x:c r="L1" s="6" t="str">
        <x:v>Restart Conditions</x:v>
      </x:c>
      <x:c r="M1" s="6" t="str">
        <x:v>Status</x:v>
      </x:c>
    </x:row>
    <x:row r="2">
      <x:c r="A2" t="str">
        <x:v>INC-001</x:v>
      </x:c>
      <x:c r="B2" t="str">
        <x:v>2026-06-01</x:v>
      </x:c>
      <x:c r="C2" t="str">
        <x:v>AI-002</x:v>
      </x:c>
      <x:c r="D2" t="str">
        <x:v>False or misleading output</x:v>
      </x:c>
      <x:c r="E2" t="str">
        <x:v>Moderate</x:v>
      </x:c>
      <x:c r="F2" t="str">
        <x:v>Yes</x:v>
      </x:c>
      <x:c r="G2" t="str">
        <x:v>CX Lead</x:v>
      </x:c>
      <x:c r="H2" t="str">
        <x:v>Incorrect support response drafted</x:v>
      </x:c>
      <x:c r="I2" t="str">
        <x:v>Human review caught before send</x:v>
      </x:c>
      <x:c r="J2" t="str">
        <x:v>Knowledge base mismatch</x:v>
      </x:c>
      <x:c r="K2" t="str">
        <x:v>Update source docs and retest</x:v>
      </x:c>
      <x:c r="L2" t="str">
        <x:v>Evidence updated and monitoring active</x:v>
      </x:c>
      <x:c r="M2" t="str">
        <x:v>Open</x:v>
      </x:c>
    </x:row>
  </x:sheetData>
  <x:dataValidations count="1">
    <x:dataValidation type="list" sqref="F2:F200">
      <x:formula1>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2f518ce20e4cf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40" hidden="0" customWidth="1"/>
  </x:cols>
  <x:sheetData>
    <x:row r="1" ht="30" customHeight="1">
      <x:c r="A1" s="6" t="str">
        <x:v>System ID</x:v>
      </x:c>
      <x:c r="B1" s="6" t="str">
        <x:v>Trigger Present?</x:v>
      </x:c>
      <x:c r="C1" s="6" t="str">
        <x:v>Can Contain Immediately?</x:v>
      </x:c>
      <x:c r="D1" s="6" t="str">
        <x:v>Root Cause Known?</x:v>
      </x:c>
      <x:c r="E1" s="6" t="str">
        <x:v>Controls Can Prevent Recurrence?</x:v>
      </x:c>
      <x:c r="F1" s="6" t="str">
        <x:v>Evidence Updated?</x:v>
      </x:c>
      <x:c r="G1" s="6" t="str">
        <x:v>Recommended Decision</x:v>
      </x:c>
      <x:c r="H1" s="6" t="str">
        <x:v>Owner Notes</x:v>
      </x:c>
    </x:row>
    <x:row r="2">
      <x:c r="A2" t="str">
        <x:v>AI-002</x:v>
      </x:c>
      <x:c r="B2" t="str">
        <x:v>Yes</x:v>
      </x:c>
      <x:c r="C2" t="str">
        <x:v>Yes</x:v>
      </x:c>
      <x:c r="D2" t="str">
        <x:v>No</x:v>
      </x:c>
      <x:c r="E2" t="str">
        <x:v>Unknown</x:v>
      </x:c>
      <x:c r="F2" t="str">
        <x:v>No</x:v>
      </x:c>
      <x:c r="G2" t="str">
        <x:f>IF(B2="No","Continue operation",IF(C2="No","Full shutdown",IF(OR(D2="No",E2="No",F2="No"),"Pause or restrict","Restart with controls")))</x:f>
        <x:v>Pause or restrict</x:v>
      </x:c>
      <x:c r="H2" t="str">
        <x:v>Keep restricted while investigating</x:v>
      </x:c>
    </x:row>
    <x:row r="3">
      <x:c r="A3" t="str">
        <x:v>AI-004</x:v>
      </x:c>
      <x:c r="B3" t="str">
        <x:v>Yes</x:v>
      </x:c>
      <x:c r="C3" t="str">
        <x:v>No</x:v>
      </x:c>
      <x:c r="D3" t="str">
        <x:v>No</x:v>
      </x:c>
      <x:c r="E3" t="str">
        <x:v>No</x:v>
      </x:c>
      <x:c r="F3" t="str">
        <x:v>No</x:v>
      </x:c>
      <x:c r="G3" t="str">
        <x:f>IF(B2="No","Continue operation",IF(C2="No","Full shutdown",IF(OR(D2="No",E2="No",F2="No"),"Pause or restrict","Restart with controls")))</x:f>
        <x:v>Pause or restrict</x:v>
      </x:c>
      <x:c r="H3" t="str">
        <x:v>Full shutdown/not approved until controls exist</x:v>
      </x:c>
    </x:row>
    <x:row r="4">
      <x:c r="G4" t="str">
        <x:f>IF(B2="No","Continue operation",IF(C2="No","Full shutdown",IF(OR(D2="No",E2="No",F2="No"),"Pause or restrict","Restart with controls")))</x:f>
        <x:v>Pause or restrict</x:v>
      </x:c>
    </x:row>
    <x:row r="5">
      <x:c r="G5" t="str">
        <x:f>IF(B2="No","Continue operation",IF(C2="No","Full shutdown",IF(OR(D2="No",E2="No",F2="No"),"Pause or restrict","Restart with controls")))</x:f>
        <x:v>Pause or restrict</x:v>
      </x:c>
    </x:row>
    <x:row r="6">
      <x:c r="G6" t="str">
        <x:f>IF(B2="No","Continue operation",IF(C2="No","Full shutdown",IF(OR(D2="No",E2="No",F2="No"),"Pause or restrict","Restart with controls")))</x:f>
        <x:v>Pause or restrict</x:v>
      </x:c>
    </x:row>
    <x:row r="7">
      <x:c r="G7" t="str">
        <x:f>IF(B2="No","Continue operation",IF(C2="No","Full shutdown",IF(OR(D2="No",E2="No",F2="No"),"Pause or restrict","Restart with controls")))</x:f>
        <x:v>Pause or restrict</x:v>
      </x:c>
    </x:row>
    <x:row r="8">
      <x:c r="G8" t="str">
        <x:f>IF(B2="No","Continue operation",IF(C2="No","Full shutdown",IF(OR(D2="No",E2="No",F2="No"),"Pause or restrict","Restart with controls")))</x:f>
        <x:v>Pause or restrict</x:v>
      </x:c>
    </x:row>
    <x:row r="9">
      <x:c r="G9" t="str">
        <x:f>IF(B2="No","Continue operation",IF(C2="No","Full shutdown",IF(OR(D2="No",E2="No",F2="No"),"Pause or restrict","Restart with controls")))</x:f>
        <x:v>Pause or restrict</x:v>
      </x:c>
    </x:row>
    <x:row r="10">
      <x:c r="G10" t="str">
        <x:f>IF(B2="No","Continue operation",IF(C2="No","Full shutdown",IF(OR(D2="No",E2="No",F2="No"),"Pause or restrict","Restart with controls")))</x:f>
        <x:v>Pause or restrict</x:v>
      </x:c>
    </x:row>
    <x:row r="11">
      <x:c r="G11" t="str">
        <x:f>IF(B2="No","Continue operation",IF(C2="No","Full shutdown",IF(OR(D2="No",E2="No",F2="No"),"Pause or restrict","Restart with controls")))</x:f>
        <x:v>Pause or restrict</x:v>
      </x:c>
    </x:row>
    <x:row r="12">
      <x:c r="G12" t="str">
        <x:f>IF(B2="No","Continue operation",IF(C2="No","Full shutdown",IF(OR(D2="No",E2="No",F2="No"),"Pause or restrict","Restart with controls")))</x:f>
        <x:v>Pause or restrict</x:v>
      </x:c>
    </x:row>
    <x:row r="13">
      <x:c r="G13" t="str">
        <x:f>IF(B2="No","Continue operation",IF(C2="No","Full shutdown",IF(OR(D2="No",E2="No",F2="No"),"Pause or restrict","Restart with controls")))</x:f>
        <x:v>Pause or restrict</x:v>
      </x:c>
    </x:row>
    <x:row r="14">
      <x:c r="G14" t="str">
        <x:f>IF(B2="No","Continue operation",IF(C2="No","Full shutdown",IF(OR(D2="No",E2="No",F2="No"),"Pause or restrict","Restart with controls")))</x:f>
        <x:v>Pause or restrict</x:v>
      </x:c>
    </x:row>
    <x:row r="15">
      <x:c r="G15" t="str">
        <x:f>IF(B2="No","Continue operation",IF(C2="No","Full shutdown",IF(OR(D2="No",E2="No",F2="No"),"Pause or restrict","Restart with controls")))</x:f>
        <x:v>Pause or restrict</x:v>
      </x:c>
    </x:row>
    <x:row r="16">
      <x:c r="G16" t="str">
        <x:f>IF(B2="No","Continue operation",IF(C2="No","Full shutdown",IF(OR(D2="No",E2="No",F2="No"),"Pause or restrict","Restart with controls")))</x:f>
        <x:v>Pause or restrict</x:v>
      </x:c>
    </x:row>
    <x:row r="17">
      <x:c r="G17" t="str">
        <x:f>IF(B2="No","Continue operation",IF(C2="No","Full shutdown",IF(OR(D2="No",E2="No",F2="No"),"Pause or restrict","Restart with controls")))</x:f>
        <x:v>Pause or restrict</x:v>
      </x:c>
    </x:row>
    <x:row r="18">
      <x:c r="G18" t="str">
        <x:f>IF(B2="No","Continue operation",IF(C2="No","Full shutdown",IF(OR(D2="No",E2="No",F2="No"),"Pause or restrict","Restart with controls")))</x:f>
        <x:v>Pause or restrict</x:v>
      </x:c>
    </x:row>
    <x:row r="19">
      <x:c r="G19" t="str">
        <x:f>IF(B2="No","Continue operation",IF(C2="No","Full shutdown",IF(OR(D2="No",E2="No",F2="No"),"Pause or restrict","Restart with controls")))</x:f>
        <x:v>Pause or restrict</x:v>
      </x:c>
    </x:row>
    <x:row r="20">
      <x:c r="G20" t="str">
        <x:f>IF(B2="No","Continue operation",IF(C2="No","Full shutdown",IF(OR(D2="No",E2="No",F2="No"),"Pause or restrict","Restart with controls")))</x:f>
        <x:v>Pause or restrict</x:v>
      </x:c>
    </x:row>
    <x:row r="21">
      <x:c r="G21" t="str">
        <x:f>IF(B2="No","Continue operation",IF(C2="No","Full shutdown",IF(OR(D2="No",E2="No",F2="No"),"Pause or restrict","Restart with controls")))</x:f>
        <x:v>Pause or restrict</x:v>
      </x:c>
    </x:row>
    <x:row r="22">
      <x:c r="G22" t="str">
        <x:f>IF(B2="No","Continue operation",IF(C2="No","Full shutdown",IF(OR(D2="No",E2="No",F2="No"),"Pause or restrict","Restart with controls")))</x:f>
        <x:v>Pause or restrict</x:v>
      </x:c>
    </x:row>
    <x:row r="23">
      <x:c r="G23" t="str">
        <x:f>IF(B2="No","Continue operation",IF(C2="No","Full shutdown",IF(OR(D2="No",E2="No",F2="No"),"Pause or restrict","Restart with controls")))</x:f>
        <x:v>Pause or restrict</x:v>
      </x:c>
    </x:row>
    <x:row r="24">
      <x:c r="G24" t="str">
        <x:f>IF(B2="No","Continue operation",IF(C2="No","Full shutdown",IF(OR(D2="No",E2="No",F2="No"),"Pause or restrict","Restart with controls")))</x:f>
        <x:v>Pause or restrict</x:v>
      </x:c>
    </x:row>
    <x:row r="25">
      <x:c r="G25" t="str">
        <x:f>IF(B2="No","Continue operation",IF(C2="No","Full shutdown",IF(OR(D2="No",E2="No",F2="No"),"Pause or restrict","Restart with controls")))</x:f>
        <x:v>Pause or restrict</x:v>
      </x:c>
    </x:row>
    <x:row r="26">
      <x:c r="G26" t="str">
        <x:f>IF(B2="No","Continue operation",IF(C2="No","Full shutdown",IF(OR(D2="No",E2="No",F2="No"),"Pause or restrict","Restart with controls")))</x:f>
        <x:v>Pause or restrict</x:v>
      </x:c>
    </x:row>
    <x:row r="27">
      <x:c r="G27" t="str">
        <x:f>IF(B2="No","Continue operation",IF(C2="No","Full shutdown",IF(OR(D2="No",E2="No",F2="No"),"Pause or restrict","Restart with controls")))</x:f>
        <x:v>Pause or restrict</x:v>
      </x:c>
    </x:row>
    <x:row r="28">
      <x:c r="G28" t="str">
        <x:f>IF(B2="No","Continue operation",IF(C2="No","Full shutdown",IF(OR(D2="No",E2="No",F2="No"),"Pause or restrict","Restart with controls")))</x:f>
        <x:v>Pause or restrict</x:v>
      </x:c>
    </x:row>
    <x:row r="29">
      <x:c r="G29" t="str">
        <x:f>IF(B2="No","Continue operation",IF(C2="No","Full shutdown",IF(OR(D2="No",E2="No",F2="No"),"Pause or restrict","Restart with controls")))</x:f>
        <x:v>Pause or restrict</x:v>
      </x:c>
    </x:row>
    <x:row r="30">
      <x:c r="G30" t="str">
        <x:f>IF(B2="No","Continue operation",IF(C2="No","Full shutdown",IF(OR(D2="No",E2="No",F2="No"),"Pause or restrict","Restart with controls")))</x:f>
        <x:v>Pause or restrict</x:v>
      </x:c>
    </x:row>
    <x:row r="31">
      <x:c r="G31" t="str">
        <x:f>IF(B2="No","Continue operation",IF(C2="No","Full shutdown",IF(OR(D2="No",E2="No",F2="No"),"Pause or restrict","Restart with controls")))</x:f>
        <x:v>Pause or restrict</x:v>
      </x:c>
    </x:row>
    <x:row r="32">
      <x:c r="G32" t="str">
        <x:f>IF(B2="No","Continue operation",IF(C2="No","Full shutdown",IF(OR(D2="No",E2="No",F2="No"),"Pause or restrict","Restart with controls")))</x:f>
        <x:v>Pause or restrict</x:v>
      </x:c>
    </x:row>
    <x:row r="33">
      <x:c r="G33" t="str">
        <x:f>IF(B2="No","Continue operation",IF(C2="No","Full shutdown",IF(OR(D2="No",E2="No",F2="No"),"Pause or restrict","Restart with controls")))</x:f>
        <x:v>Pause or restrict</x:v>
      </x:c>
    </x:row>
    <x:row r="34">
      <x:c r="G34" t="str">
        <x:f>IF(B2="No","Continue operation",IF(C2="No","Full shutdown",IF(OR(D2="No",E2="No",F2="No"),"Pause or restrict","Restart with controls")))</x:f>
        <x:v>Pause or restrict</x:v>
      </x:c>
    </x:row>
    <x:row r="35">
      <x:c r="G35" t="str">
        <x:f>IF(B2="No","Continue operation",IF(C2="No","Full shutdown",IF(OR(D2="No",E2="No",F2="No"),"Pause or restrict","Restart with controls")))</x:f>
        <x:v>Pause or restrict</x:v>
      </x:c>
    </x:row>
    <x:row r="36">
      <x:c r="G36" t="str">
        <x:f>IF(B2="No","Continue operation",IF(C2="No","Full shutdown",IF(OR(D2="No",E2="No",F2="No"),"Pause or restrict","Restart with controls")))</x:f>
        <x:v>Pause or restrict</x:v>
      </x:c>
    </x:row>
    <x:row r="37">
      <x:c r="G37" t="str">
        <x:f>IF(B2="No","Continue operation",IF(C2="No","Full shutdown",IF(OR(D2="No",E2="No",F2="No"),"Pause or restrict","Restart with controls")))</x:f>
        <x:v>Pause or restrict</x:v>
      </x:c>
    </x:row>
    <x:row r="38">
      <x:c r="G38" t="str">
        <x:f>IF(B2="No","Continue operation",IF(C2="No","Full shutdown",IF(OR(D2="No",E2="No",F2="No"),"Pause or restrict","Restart with controls")))</x:f>
        <x:v>Pause or restrict</x:v>
      </x:c>
    </x:row>
    <x:row r="39">
      <x:c r="G39" t="str">
        <x:f>IF(B2="No","Continue operation",IF(C2="No","Full shutdown",IF(OR(D2="No",E2="No",F2="No"),"Pause or restrict","Restart with controls")))</x:f>
        <x:v>Pause or restrict</x:v>
      </x:c>
    </x:row>
    <x:row r="40">
      <x:c r="G40" t="str">
        <x:f>IF(B2="No","Continue operation",IF(C2="No","Full shutdown",IF(OR(D2="No",E2="No",F2="No"),"Pause or restrict","Restart with controls")))</x:f>
        <x:v>Pause or restrict</x:v>
      </x:c>
    </x:row>
    <x:row r="41">
      <x:c r="G41" t="str">
        <x:f>IF(B2="No","Continue operation",IF(C2="No","Full shutdown",IF(OR(D2="No",E2="No",F2="No"),"Pause or restrict","Restart with controls")))</x:f>
        <x:v>Pause or restrict</x:v>
      </x:c>
    </x:row>
    <x:row r="42">
      <x:c r="G42" t="str">
        <x:f>IF(B2="No","Continue operation",IF(C2="No","Full shutdown",IF(OR(D2="No",E2="No",F2="No"),"Pause or restrict","Restart with controls")))</x:f>
        <x:v>Pause or restrict</x:v>
      </x:c>
    </x:row>
    <x:row r="43">
      <x:c r="G43" t="str">
        <x:f>IF(B2="No","Continue operation",IF(C2="No","Full shutdown",IF(OR(D2="No",E2="No",F2="No"),"Pause or restrict","Restart with controls")))</x:f>
        <x:v>Pause or restrict</x:v>
      </x:c>
    </x:row>
    <x:row r="44">
      <x:c r="G44" t="str">
        <x:f>IF(B2="No","Continue operation",IF(C2="No","Full shutdown",IF(OR(D2="No",E2="No",F2="No"),"Pause or restrict","Restart with controls")))</x:f>
        <x:v>Pause or restrict</x:v>
      </x:c>
    </x:row>
    <x:row r="45">
      <x:c r="G45" t="str">
        <x:f>IF(B2="No","Continue operation",IF(C2="No","Full shutdown",IF(OR(D2="No",E2="No",F2="No"),"Pause or restrict","Restart with controls")))</x:f>
        <x:v>Pause or restrict</x:v>
      </x:c>
    </x:row>
    <x:row r="46">
      <x:c r="G46" t="str">
        <x:f>IF(B2="No","Continue operation",IF(C2="No","Full shutdown",IF(OR(D2="No",E2="No",F2="No"),"Pause or restrict","Restart with controls")))</x:f>
        <x:v>Pause or restrict</x:v>
      </x:c>
    </x:row>
    <x:row r="47">
      <x:c r="G47" t="str">
        <x:f>IF(B2="No","Continue operation",IF(C2="No","Full shutdown",IF(OR(D2="No",E2="No",F2="No"),"Pause or restrict","Restart with controls")))</x:f>
        <x:v>Pause or restrict</x:v>
      </x:c>
    </x:row>
    <x:row r="48">
      <x:c r="G48" t="str">
        <x:f>IF(B2="No","Continue operation",IF(C2="No","Full shutdown",IF(OR(D2="No",E2="No",F2="No"),"Pause or restrict","Restart with controls")))</x:f>
        <x:v>Pause or restrict</x:v>
      </x:c>
    </x:row>
    <x:row r="49">
      <x:c r="G49" t="str">
        <x:f>IF(B2="No","Continue operation",IF(C2="No","Full shutdown",IF(OR(D2="No",E2="No",F2="No"),"Pause or restrict","Restart with controls")))</x:f>
        <x:v>Pause or restrict</x:v>
      </x:c>
    </x:row>
    <x:row r="50">
      <x:c r="G50" t="str">
        <x:f>IF(B2="No","Continue operation",IF(C2="No","Full shutdown",IF(OR(D2="No",E2="No",F2="No"),"Pause or restrict","Restart with controls")))</x:f>
        <x:v>Pause or restrict</x:v>
      </x:c>
    </x:row>
    <x:row r="51">
      <x:c r="G51" t="str">
        <x:f>IF(B2="No","Continue operation",IF(C2="No","Full shutdown",IF(OR(D2="No",E2="No",F2="No"),"Pause or restrict","Restart with controls")))</x:f>
        <x:v>Pause or restrict</x:v>
      </x:c>
    </x:row>
    <x:row r="52">
      <x:c r="G52" t="str">
        <x:f>IF(B2="No","Continue operation",IF(C2="No","Full shutdown",IF(OR(D2="No",E2="No",F2="No"),"Pause or restrict","Restart with controls")))</x:f>
        <x:v>Pause or restrict</x:v>
      </x:c>
    </x:row>
    <x:row r="53">
      <x:c r="G53" t="str">
        <x:f>IF(B2="No","Continue operation",IF(C2="No","Full shutdown",IF(OR(D2="No",E2="No",F2="No"),"Pause or restrict","Restart with controls")))</x:f>
        <x:v>Pause or restrict</x:v>
      </x:c>
    </x:row>
    <x:row r="54">
      <x:c r="G54" t="str">
        <x:f>IF(B2="No","Continue operation",IF(C2="No","Full shutdown",IF(OR(D2="No",E2="No",F2="No"),"Pause or restrict","Restart with controls")))</x:f>
        <x:v>Pause or restrict</x:v>
      </x:c>
    </x:row>
    <x:row r="55">
      <x:c r="G55" t="str">
        <x:f>IF(B2="No","Continue operation",IF(C2="No","Full shutdown",IF(OR(D2="No",E2="No",F2="No"),"Pause or restrict","Restart with controls")))</x:f>
        <x:v>Pause or restrict</x:v>
      </x:c>
    </x:row>
    <x:row r="56">
      <x:c r="G56" t="str">
        <x:f>IF(B2="No","Continue operation",IF(C2="No","Full shutdown",IF(OR(D2="No",E2="No",F2="No"),"Pause or restrict","Restart with controls")))</x:f>
        <x:v>Pause or restrict</x:v>
      </x:c>
    </x:row>
    <x:row r="57">
      <x:c r="G57" t="str">
        <x:f>IF(B2="No","Continue operation",IF(C2="No","Full shutdown",IF(OR(D2="No",E2="No",F2="No"),"Pause or restrict","Restart with controls")))</x:f>
        <x:v>Pause or restrict</x:v>
      </x:c>
    </x:row>
    <x:row r="58">
      <x:c r="G58" t="str">
        <x:f>IF(B2="No","Continue operation",IF(C2="No","Full shutdown",IF(OR(D2="No",E2="No",F2="No"),"Pause or restrict","Restart with controls")))</x:f>
        <x:v>Pause or restrict</x:v>
      </x:c>
    </x:row>
    <x:row r="59">
      <x:c r="G59" t="str">
        <x:f>IF(B2="No","Continue operation",IF(C2="No","Full shutdown",IF(OR(D2="No",E2="No",F2="No"),"Pause or restrict","Restart with controls")))</x:f>
        <x:v>Pause or restrict</x:v>
      </x:c>
    </x:row>
    <x:row r="60">
      <x:c r="G60" t="str">
        <x:f>IF(B2="No","Continue operation",IF(C2="No","Full shutdown",IF(OR(D2="No",E2="No",F2="No"),"Pause or restrict","Restart with controls")))</x:f>
        <x:v>Pause or restrict</x:v>
      </x:c>
    </x:row>
    <x:row r="61">
      <x:c r="G61" t="str">
        <x:f>IF(B2="No","Continue operation",IF(C2="No","Full shutdown",IF(OR(D2="No",E2="No",F2="No"),"Pause or restrict","Restart with controls")))</x:f>
        <x:v>Pause or restrict</x:v>
      </x:c>
    </x:row>
    <x:row r="62">
      <x:c r="G62" t="str">
        <x:f>IF(B2="No","Continue operation",IF(C2="No","Full shutdown",IF(OR(D2="No",E2="No",F2="No"),"Pause or restrict","Restart with controls")))</x:f>
        <x:v>Pause or restrict</x:v>
      </x:c>
    </x:row>
    <x:row r="63">
      <x:c r="G63" t="str">
        <x:f>IF(B2="No","Continue operation",IF(C2="No","Full shutdown",IF(OR(D2="No",E2="No",F2="No"),"Pause or restrict","Restart with controls")))</x:f>
        <x:v>Pause or restrict</x:v>
      </x:c>
    </x:row>
    <x:row r="64">
      <x:c r="G64" t="str">
        <x:f>IF(B2="No","Continue operation",IF(C2="No","Full shutdown",IF(OR(D2="No",E2="No",F2="No"),"Pause or restrict","Restart with controls")))</x:f>
        <x:v>Pause or restrict</x:v>
      </x:c>
    </x:row>
    <x:row r="65">
      <x:c r="G65" t="str">
        <x:f>IF(B2="No","Continue operation",IF(C2="No","Full shutdown",IF(OR(D2="No",E2="No",F2="No"),"Pause or restrict","Restart with controls")))</x:f>
        <x:v>Pause or restrict</x:v>
      </x:c>
    </x:row>
    <x:row r="66">
      <x:c r="G66" t="str">
        <x:f>IF(B2="No","Continue operation",IF(C2="No","Full shutdown",IF(OR(D2="No",E2="No",F2="No"),"Pause or restrict","Restart with controls")))</x:f>
        <x:v>Pause or restrict</x:v>
      </x:c>
    </x:row>
    <x:row r="67">
      <x:c r="G67" t="str">
        <x:f>IF(B2="No","Continue operation",IF(C2="No","Full shutdown",IF(OR(D2="No",E2="No",F2="No"),"Pause or restrict","Restart with controls")))</x:f>
        <x:v>Pause or restrict</x:v>
      </x:c>
    </x:row>
    <x:row r="68">
      <x:c r="G68" t="str">
        <x:f>IF(B2="No","Continue operation",IF(C2="No","Full shutdown",IF(OR(D2="No",E2="No",F2="No"),"Pause or restrict","Restart with controls")))</x:f>
        <x:v>Pause or restrict</x:v>
      </x:c>
    </x:row>
    <x:row r="69">
      <x:c r="G69" t="str">
        <x:f>IF(B2="No","Continue operation",IF(C2="No","Full shutdown",IF(OR(D2="No",E2="No",F2="No"),"Pause or restrict","Restart with controls")))</x:f>
        <x:v>Pause or restrict</x:v>
      </x:c>
    </x:row>
    <x:row r="70">
      <x:c r="G70" t="str">
        <x:f>IF(B2="No","Continue operation",IF(C2="No","Full shutdown",IF(OR(D2="No",E2="No",F2="No"),"Pause or restrict","Restart with controls")))</x:f>
        <x:v>Pause or restrict</x:v>
      </x:c>
    </x:row>
    <x:row r="71">
      <x:c r="G71" t="str">
        <x:f>IF(B2="No","Continue operation",IF(C2="No","Full shutdown",IF(OR(D2="No",E2="No",F2="No"),"Pause or restrict","Restart with controls")))</x:f>
        <x:v>Pause or restrict</x:v>
      </x:c>
    </x:row>
    <x:row r="72">
      <x:c r="G72" t="str">
        <x:f>IF(B2="No","Continue operation",IF(C2="No","Full shutdown",IF(OR(D2="No",E2="No",F2="No"),"Pause or restrict","Restart with controls")))</x:f>
        <x:v>Pause or restrict</x:v>
      </x:c>
    </x:row>
    <x:row r="73">
      <x:c r="G73" t="str">
        <x:f>IF(B2="No","Continue operation",IF(C2="No","Full shutdown",IF(OR(D2="No",E2="No",F2="No"),"Pause or restrict","Restart with controls")))</x:f>
        <x:v>Pause or restrict</x:v>
      </x:c>
    </x:row>
    <x:row r="74">
      <x:c r="G74" t="str">
        <x:f>IF(B2="No","Continue operation",IF(C2="No","Full shutdown",IF(OR(D2="No",E2="No",F2="No"),"Pause or restrict","Restart with controls")))</x:f>
        <x:v>Pause or restrict</x:v>
      </x:c>
    </x:row>
    <x:row r="75">
      <x:c r="G75" t="str">
        <x:f>IF(B2="No","Continue operation",IF(C2="No","Full shutdown",IF(OR(D2="No",E2="No",F2="No"),"Pause or restrict","Restart with controls")))</x:f>
        <x:v>Pause or restrict</x:v>
      </x:c>
    </x:row>
    <x:row r="76">
      <x:c r="G76" t="str">
        <x:f>IF(B2="No","Continue operation",IF(C2="No","Full shutdown",IF(OR(D2="No",E2="No",F2="No"),"Pause or restrict","Restart with controls")))</x:f>
        <x:v>Pause or restrict</x:v>
      </x:c>
    </x:row>
    <x:row r="77">
      <x:c r="G77" t="str">
        <x:f>IF(B2="No","Continue operation",IF(C2="No","Full shutdown",IF(OR(D2="No",E2="No",F2="No"),"Pause or restrict","Restart with controls")))</x:f>
        <x:v>Pause or restrict</x:v>
      </x:c>
    </x:row>
    <x:row r="78">
      <x:c r="G78" t="str">
        <x:f>IF(B2="No","Continue operation",IF(C2="No","Full shutdown",IF(OR(D2="No",E2="No",F2="No"),"Pause or restrict","Restart with controls")))</x:f>
        <x:v>Pause or restrict</x:v>
      </x:c>
    </x:row>
    <x:row r="79">
      <x:c r="G79" t="str">
        <x:f>IF(B2="No","Continue operation",IF(C2="No","Full shutdown",IF(OR(D2="No",E2="No",F2="No"),"Pause or restrict","Restart with controls")))</x:f>
        <x:v>Pause or restrict</x:v>
      </x:c>
    </x:row>
    <x:row r="80">
      <x:c r="G80" t="str">
        <x:f>IF(B2="No","Continue operation",IF(C2="No","Full shutdown",IF(OR(D2="No",E2="No",F2="No"),"Pause or restrict","Restart with controls")))</x:f>
        <x:v>Pause or restrict</x:v>
      </x:c>
    </x:row>
    <x:row r="81">
      <x:c r="G81" t="str">
        <x:f>IF(B2="No","Continue operation",IF(C2="No","Full shutdown",IF(OR(D2="No",E2="No",F2="No"),"Pause or restrict","Restart with controls")))</x:f>
        <x:v>Pause or restrict</x:v>
      </x:c>
    </x:row>
    <x:row r="82">
      <x:c r="G82" t="str">
        <x:f>IF(B2="No","Continue operation",IF(C2="No","Full shutdown",IF(OR(D2="No",E2="No",F2="No"),"Pause or restrict","Restart with controls")))</x:f>
        <x:v>Pause or restrict</x:v>
      </x:c>
    </x:row>
    <x:row r="83">
      <x:c r="G83" t="str">
        <x:f>IF(B2="No","Continue operation",IF(C2="No","Full shutdown",IF(OR(D2="No",E2="No",F2="No"),"Pause or restrict","Restart with controls")))</x:f>
        <x:v>Pause or restrict</x:v>
      </x:c>
    </x:row>
    <x:row r="84">
      <x:c r="G84" t="str">
        <x:f>IF(B2="No","Continue operation",IF(C2="No","Full shutdown",IF(OR(D2="No",E2="No",F2="No"),"Pause or restrict","Restart with controls")))</x:f>
        <x:v>Pause or restrict</x:v>
      </x:c>
    </x:row>
    <x:row r="85">
      <x:c r="G85" t="str">
        <x:f>IF(B2="No","Continue operation",IF(C2="No","Full shutdown",IF(OR(D2="No",E2="No",F2="No"),"Pause or restrict","Restart with controls")))</x:f>
        <x:v>Pause or restrict</x:v>
      </x:c>
    </x:row>
    <x:row r="86">
      <x:c r="G86" t="str">
        <x:f>IF(B2="No","Continue operation",IF(C2="No","Full shutdown",IF(OR(D2="No",E2="No",F2="No"),"Pause or restrict","Restart with controls")))</x:f>
        <x:v>Pause or restrict</x:v>
      </x:c>
    </x:row>
    <x:row r="87">
      <x:c r="G87" t="str">
        <x:f>IF(B2="No","Continue operation",IF(C2="No","Full shutdown",IF(OR(D2="No",E2="No",F2="No"),"Pause or restrict","Restart with controls")))</x:f>
        <x:v>Pause or restrict</x:v>
      </x:c>
    </x:row>
    <x:row r="88">
      <x:c r="G88" t="str">
        <x:f>IF(B2="No","Continue operation",IF(C2="No","Full shutdown",IF(OR(D2="No",E2="No",F2="No"),"Pause or restrict","Restart with controls")))</x:f>
        <x:v>Pause or restrict</x:v>
      </x:c>
    </x:row>
    <x:row r="89">
      <x:c r="G89" t="str">
        <x:f>IF(B2="No","Continue operation",IF(C2="No","Full shutdown",IF(OR(D2="No",E2="No",F2="No"),"Pause or restrict","Restart with controls")))</x:f>
        <x:v>Pause or restrict</x:v>
      </x:c>
    </x:row>
    <x:row r="90">
      <x:c r="G90" t="str">
        <x:f>IF(B2="No","Continue operation",IF(C2="No","Full shutdown",IF(OR(D2="No",E2="No",F2="No"),"Pause or restrict","Restart with controls")))</x:f>
        <x:v>Pause or restrict</x:v>
      </x:c>
    </x:row>
    <x:row r="91">
      <x:c r="G91" t="str">
        <x:f>IF(B2="No","Continue operation",IF(C2="No","Full shutdown",IF(OR(D2="No",E2="No",F2="No"),"Pause or restrict","Restart with controls")))</x:f>
        <x:v>Pause or restrict</x:v>
      </x:c>
    </x:row>
    <x:row r="92">
      <x:c r="G92" t="str">
        <x:f>IF(B2="No","Continue operation",IF(C2="No","Full shutdown",IF(OR(D2="No",E2="No",F2="No"),"Pause or restrict","Restart with controls")))</x:f>
        <x:v>Pause or restrict</x:v>
      </x:c>
    </x:row>
    <x:row r="93">
      <x:c r="G93" t="str">
        <x:f>IF(B2="No","Continue operation",IF(C2="No","Full shutdown",IF(OR(D2="No",E2="No",F2="No"),"Pause or restrict","Restart with controls")))</x:f>
        <x:v>Pause or restrict</x:v>
      </x:c>
    </x:row>
    <x:row r="94">
      <x:c r="G94" t="str">
        <x:f>IF(B2="No","Continue operation",IF(C2="No","Full shutdown",IF(OR(D2="No",E2="No",F2="No"),"Pause or restrict","Restart with controls")))</x:f>
        <x:v>Pause or restrict</x:v>
      </x:c>
    </x:row>
    <x:row r="95">
      <x:c r="G95" t="str">
        <x:f>IF(B2="No","Continue operation",IF(C2="No","Full shutdown",IF(OR(D2="No",E2="No",F2="No"),"Pause or restrict","Restart with controls")))</x:f>
        <x:v>Pause or restrict</x:v>
      </x:c>
    </x:row>
    <x:row r="96">
      <x:c r="G96" t="str">
        <x:f>IF(B2="No","Continue operation",IF(C2="No","Full shutdown",IF(OR(D2="No",E2="No",F2="No"),"Pause or restrict","Restart with controls")))</x:f>
        <x:v>Pause or restrict</x:v>
      </x:c>
    </x:row>
    <x:row r="97">
      <x:c r="G97" t="str">
        <x:f>IF(B2="No","Continue operation",IF(C2="No","Full shutdown",IF(OR(D2="No",E2="No",F2="No"),"Pause or restrict","Restart with controls")))</x:f>
        <x:v>Pause or restrict</x:v>
      </x:c>
    </x:row>
    <x:row r="98">
      <x:c r="G98" t="str">
        <x:f>IF(B2="No","Continue operation",IF(C2="No","Full shutdown",IF(OR(D2="No",E2="No",F2="No"),"Pause or restrict","Restart with controls")))</x:f>
        <x:v>Pause or restrict</x:v>
      </x:c>
    </x:row>
    <x:row r="99">
      <x:c r="G99" t="str">
        <x:f>IF(B2="No","Continue operation",IF(C2="No","Full shutdown",IF(OR(D2="No",E2="No",F2="No"),"Pause or restrict","Restart with controls")))</x:f>
        <x:v>Pause or restrict</x:v>
      </x:c>
    </x:row>
    <x:row r="100">
      <x:c r="G100" t="str">
        <x:f>IF(B2="No","Continue operation",IF(C2="No","Full shutdown",IF(OR(D2="No",E2="No",F2="No"),"Pause or restrict","Restart with controls")))</x:f>
        <x:v>Pause or restrict</x:v>
      </x:c>
    </x:row>
    <x:row r="101">
      <x:c r="G101" t="str">
        <x:f>IF(B2="No","Continue operation",IF(C2="No","Full shutdown",IF(OR(D2="No",E2="No",F2="No"),"Pause or restrict","Restart with controls")))</x:f>
        <x:v>Pause or restrict</x:v>
      </x:c>
    </x:row>
    <x:row r="102">
      <x:c r="G102" t="str">
        <x:f>IF(B2="No","Continue operation",IF(C2="No","Full shutdown",IF(OR(D2="No",E2="No",F2="No"),"Pause or restrict","Restart with controls")))</x:f>
        <x:v>Pause or restrict</x:v>
      </x:c>
    </x:row>
    <x:row r="103">
      <x:c r="G103" t="str">
        <x:f>IF(B2="No","Continue operation",IF(C2="No","Full shutdown",IF(OR(D2="No",E2="No",F2="No"),"Pause or restrict","Restart with controls")))</x:f>
        <x:v>Pause or restrict</x:v>
      </x:c>
    </x:row>
    <x:row r="104">
      <x:c r="G104" t="str">
        <x:f>IF(B2="No","Continue operation",IF(C2="No","Full shutdown",IF(OR(D2="No",E2="No",F2="No"),"Pause or restrict","Restart with controls")))</x:f>
        <x:v>Pause or restrict</x:v>
      </x:c>
    </x:row>
    <x:row r="105">
      <x:c r="G105" t="str">
        <x:f>IF(B2="No","Continue operation",IF(C2="No","Full shutdown",IF(OR(D2="No",E2="No",F2="No"),"Pause or restrict","Restart with controls")))</x:f>
        <x:v>Pause or restrict</x:v>
      </x:c>
    </x:row>
    <x:row r="106">
      <x:c r="G106" t="str">
        <x:f>IF(B2="No","Continue operation",IF(C2="No","Full shutdown",IF(OR(D2="No",E2="No",F2="No"),"Pause or restrict","Restart with controls")))</x:f>
        <x:v>Pause or restrict</x:v>
      </x:c>
    </x:row>
    <x:row r="107">
      <x:c r="G107" t="str">
        <x:f>IF(B2="No","Continue operation",IF(C2="No","Full shutdown",IF(OR(D2="No",E2="No",F2="No"),"Pause or restrict","Restart with controls")))</x:f>
        <x:v>Pause or restrict</x:v>
      </x:c>
    </x:row>
    <x:row r="108">
      <x:c r="G108" t="str">
        <x:f>IF(B2="No","Continue operation",IF(C2="No","Full shutdown",IF(OR(D2="No",E2="No",F2="No"),"Pause or restrict","Restart with controls")))</x:f>
        <x:v>Pause or restrict</x:v>
      </x:c>
    </x:row>
    <x:row r="109">
      <x:c r="G109" t="str">
        <x:f>IF(B2="No","Continue operation",IF(C2="No","Full shutdown",IF(OR(D2="No",E2="No",F2="No"),"Pause or restrict","Restart with controls")))</x:f>
        <x:v>Pause or restrict</x:v>
      </x:c>
    </x:row>
    <x:row r="110">
      <x:c r="G110" t="str">
        <x:f>IF(B2="No","Continue operation",IF(C2="No","Full shutdown",IF(OR(D2="No",E2="No",F2="No"),"Pause or restrict","Restart with controls")))</x:f>
        <x:v>Pause or restrict</x:v>
      </x:c>
    </x:row>
    <x:row r="111">
      <x:c r="G111" t="str">
        <x:f>IF(B2="No","Continue operation",IF(C2="No","Full shutdown",IF(OR(D2="No",E2="No",F2="No"),"Pause or restrict","Restart with controls")))</x:f>
        <x:v>Pause or restrict</x:v>
      </x:c>
    </x:row>
    <x:row r="112">
      <x:c r="G112" t="str">
        <x:f>IF(B2="No","Continue operation",IF(C2="No","Full shutdown",IF(OR(D2="No",E2="No",F2="No"),"Pause or restrict","Restart with controls")))</x:f>
        <x:v>Pause or restrict</x:v>
      </x:c>
    </x:row>
    <x:row r="113">
      <x:c r="G113" t="str">
        <x:f>IF(B2="No","Continue operation",IF(C2="No","Full shutdown",IF(OR(D2="No",E2="No",F2="No"),"Pause or restrict","Restart with controls")))</x:f>
        <x:v>Pause or restrict</x:v>
      </x:c>
    </x:row>
    <x:row r="114">
      <x:c r="G114" t="str">
        <x:f>IF(B2="No","Continue operation",IF(C2="No","Full shutdown",IF(OR(D2="No",E2="No",F2="No"),"Pause or restrict","Restart with controls")))</x:f>
        <x:v>Pause or restrict</x:v>
      </x:c>
    </x:row>
    <x:row r="115">
      <x:c r="G115" t="str">
        <x:f>IF(B2="No","Continue operation",IF(C2="No","Full shutdown",IF(OR(D2="No",E2="No",F2="No"),"Pause or restrict","Restart with controls")))</x:f>
        <x:v>Pause or restrict</x:v>
      </x:c>
    </x:row>
    <x:row r="116">
      <x:c r="G116" t="str">
        <x:f>IF(B2="No","Continue operation",IF(C2="No","Full shutdown",IF(OR(D2="No",E2="No",F2="No"),"Pause or restrict","Restart with controls")))</x:f>
        <x:v>Pause or restrict</x:v>
      </x:c>
    </x:row>
    <x:row r="117">
      <x:c r="G117" t="str">
        <x:f>IF(B2="No","Continue operation",IF(C2="No","Full shutdown",IF(OR(D2="No",E2="No",F2="No"),"Pause or restrict","Restart with controls")))</x:f>
        <x:v>Pause or restrict</x:v>
      </x:c>
    </x:row>
    <x:row r="118">
      <x:c r="G118" t="str">
        <x:f>IF(B2="No","Continue operation",IF(C2="No","Full shutdown",IF(OR(D2="No",E2="No",F2="No"),"Pause or restrict","Restart with controls")))</x:f>
        <x:v>Pause or restrict</x:v>
      </x:c>
    </x:row>
    <x:row r="119">
      <x:c r="G119" t="str">
        <x:f>IF(B2="No","Continue operation",IF(C2="No","Full shutdown",IF(OR(D2="No",E2="No",F2="No"),"Pause or restrict","Restart with controls")))</x:f>
        <x:v>Pause or restrict</x:v>
      </x:c>
    </x:row>
    <x:row r="120">
      <x:c r="G120" t="str">
        <x:f>IF(B2="No","Continue operation",IF(C2="No","Full shutdown",IF(OR(D2="No",E2="No",F2="No"),"Pause or restrict","Restart with controls")))</x:f>
        <x:v>Pause or restrict</x:v>
      </x:c>
    </x:row>
    <x:row r="121">
      <x:c r="G121" t="str">
        <x:f>IF(B2="No","Continue operation",IF(C2="No","Full shutdown",IF(OR(D2="No",E2="No",F2="No"),"Pause or restrict","Restart with controls")))</x:f>
        <x:v>Pause or restrict</x:v>
      </x:c>
    </x:row>
    <x:row r="122">
      <x:c r="G122" t="str">
        <x:f>IF(B2="No","Continue operation",IF(C2="No","Full shutdown",IF(OR(D2="No",E2="No",F2="No"),"Pause or restrict","Restart with controls")))</x:f>
        <x:v>Pause or restrict</x:v>
      </x:c>
    </x:row>
    <x:row r="123">
      <x:c r="G123" t="str">
        <x:f>IF(B2="No","Continue operation",IF(C2="No","Full shutdown",IF(OR(D2="No",E2="No",F2="No"),"Pause or restrict","Restart with controls")))</x:f>
        <x:v>Pause or restrict</x:v>
      </x:c>
    </x:row>
    <x:row r="124">
      <x:c r="G124" t="str">
        <x:f>IF(B2="No","Continue operation",IF(C2="No","Full shutdown",IF(OR(D2="No",E2="No",F2="No"),"Pause or restrict","Restart with controls")))</x:f>
        <x:v>Pause or restrict</x:v>
      </x:c>
    </x:row>
    <x:row r="125">
      <x:c r="G125" t="str">
        <x:f>IF(B2="No","Continue operation",IF(C2="No","Full shutdown",IF(OR(D2="No",E2="No",F2="No"),"Pause or restrict","Restart with controls")))</x:f>
        <x:v>Pause or restrict</x:v>
      </x:c>
    </x:row>
    <x:row r="126">
      <x:c r="G126" t="str">
        <x:f>IF(B2="No","Continue operation",IF(C2="No","Full shutdown",IF(OR(D2="No",E2="No",F2="No"),"Pause or restrict","Restart with controls")))</x:f>
        <x:v>Pause or restrict</x:v>
      </x:c>
    </x:row>
    <x:row r="127">
      <x:c r="G127" t="str">
        <x:f>IF(B2="No","Continue operation",IF(C2="No","Full shutdown",IF(OR(D2="No",E2="No",F2="No"),"Pause or restrict","Restart with controls")))</x:f>
        <x:v>Pause or restrict</x:v>
      </x:c>
    </x:row>
    <x:row r="128">
      <x:c r="G128" t="str">
        <x:f>IF(B2="No","Continue operation",IF(C2="No","Full shutdown",IF(OR(D2="No",E2="No",F2="No"),"Pause or restrict","Restart with controls")))</x:f>
        <x:v>Pause or restrict</x:v>
      </x:c>
    </x:row>
    <x:row r="129">
      <x:c r="G129" t="str">
        <x:f>IF(B2="No","Continue operation",IF(C2="No","Full shutdown",IF(OR(D2="No",E2="No",F2="No"),"Pause or restrict","Restart with controls")))</x:f>
        <x:v>Pause or restrict</x:v>
      </x:c>
    </x:row>
    <x:row r="130">
      <x:c r="G130" t="str">
        <x:f>IF(B2="No","Continue operation",IF(C2="No","Full shutdown",IF(OR(D2="No",E2="No",F2="No"),"Pause or restrict","Restart with controls")))</x:f>
        <x:v>Pause or restrict</x:v>
      </x:c>
    </x:row>
    <x:row r="131">
      <x:c r="G131" t="str">
        <x:f>IF(B2="No","Continue operation",IF(C2="No","Full shutdown",IF(OR(D2="No",E2="No",F2="No"),"Pause or restrict","Restart with controls")))</x:f>
        <x:v>Pause or restrict</x:v>
      </x:c>
    </x:row>
    <x:row r="132">
      <x:c r="G132" t="str">
        <x:f>IF(B2="No","Continue operation",IF(C2="No","Full shutdown",IF(OR(D2="No",E2="No",F2="No"),"Pause or restrict","Restart with controls")))</x:f>
        <x:v>Pause or restrict</x:v>
      </x:c>
    </x:row>
    <x:row r="133">
      <x:c r="G133" t="str">
        <x:f>IF(B2="No","Continue operation",IF(C2="No","Full shutdown",IF(OR(D2="No",E2="No",F2="No"),"Pause or restrict","Restart with controls")))</x:f>
        <x:v>Pause or restrict</x:v>
      </x:c>
    </x:row>
    <x:row r="134">
      <x:c r="G134" t="str">
        <x:f>IF(B2="No","Continue operation",IF(C2="No","Full shutdown",IF(OR(D2="No",E2="No",F2="No"),"Pause or restrict","Restart with controls")))</x:f>
        <x:v>Pause or restrict</x:v>
      </x:c>
    </x:row>
    <x:row r="135">
      <x:c r="G135" t="str">
        <x:f>IF(B2="No","Continue operation",IF(C2="No","Full shutdown",IF(OR(D2="No",E2="No",F2="No"),"Pause or restrict","Restart with controls")))</x:f>
        <x:v>Pause or restrict</x:v>
      </x:c>
    </x:row>
    <x:row r="136">
      <x:c r="G136" t="str">
        <x:f>IF(B2="No","Continue operation",IF(C2="No","Full shutdown",IF(OR(D2="No",E2="No",F2="No"),"Pause or restrict","Restart with controls")))</x:f>
        <x:v>Pause or restrict</x:v>
      </x:c>
    </x:row>
    <x:row r="137">
      <x:c r="G137" t="str">
        <x:f>IF(B2="No","Continue operation",IF(C2="No","Full shutdown",IF(OR(D2="No",E2="No",F2="No"),"Pause or restrict","Restart with controls")))</x:f>
        <x:v>Pause or restrict</x:v>
      </x:c>
    </x:row>
    <x:row r="138">
      <x:c r="G138" t="str">
        <x:f>IF(B2="No","Continue operation",IF(C2="No","Full shutdown",IF(OR(D2="No",E2="No",F2="No"),"Pause or restrict","Restart with controls")))</x:f>
        <x:v>Pause or restrict</x:v>
      </x:c>
    </x:row>
    <x:row r="139">
      <x:c r="G139" t="str">
        <x:f>IF(B2="No","Continue operation",IF(C2="No","Full shutdown",IF(OR(D2="No",E2="No",F2="No"),"Pause or restrict","Restart with controls")))</x:f>
        <x:v>Pause or restrict</x:v>
      </x:c>
    </x:row>
    <x:row r="140">
      <x:c r="G140" t="str">
        <x:f>IF(B2="No","Continue operation",IF(C2="No","Full shutdown",IF(OR(D2="No",E2="No",F2="No"),"Pause or restrict","Restart with controls")))</x:f>
        <x:v>Pause or restrict</x:v>
      </x:c>
    </x:row>
    <x:row r="141">
      <x:c r="G141" t="str">
        <x:f>IF(B2="No","Continue operation",IF(C2="No","Full shutdown",IF(OR(D2="No",E2="No",F2="No"),"Pause or restrict","Restart with controls")))</x:f>
        <x:v>Pause or restrict</x:v>
      </x:c>
    </x:row>
    <x:row r="142">
      <x:c r="G142" t="str">
        <x:f>IF(B2="No","Continue operation",IF(C2="No","Full shutdown",IF(OR(D2="No",E2="No",F2="No"),"Pause or restrict","Restart with controls")))</x:f>
        <x:v>Pause or restrict</x:v>
      </x:c>
    </x:row>
    <x:row r="143">
      <x:c r="G143" t="str">
        <x:f>IF(B2="No","Continue operation",IF(C2="No","Full shutdown",IF(OR(D2="No",E2="No",F2="No"),"Pause or restrict","Restart with controls")))</x:f>
        <x:v>Pause or restrict</x:v>
      </x:c>
    </x:row>
    <x:row r="144">
      <x:c r="G144" t="str">
        <x:f>IF(B2="No","Continue operation",IF(C2="No","Full shutdown",IF(OR(D2="No",E2="No",F2="No"),"Pause or restrict","Restart with controls")))</x:f>
        <x:v>Pause or restrict</x:v>
      </x:c>
    </x:row>
    <x:row r="145">
      <x:c r="G145" t="str">
        <x:f>IF(B2="No","Continue operation",IF(C2="No","Full shutdown",IF(OR(D2="No",E2="No",F2="No"),"Pause or restrict","Restart with controls")))</x:f>
        <x:v>Pause or restrict</x:v>
      </x:c>
    </x:row>
    <x:row r="146">
      <x:c r="G146" t="str">
        <x:f>IF(B2="No","Continue operation",IF(C2="No","Full shutdown",IF(OR(D2="No",E2="No",F2="No"),"Pause or restrict","Restart with controls")))</x:f>
        <x:v>Pause or restrict</x:v>
      </x:c>
    </x:row>
    <x:row r="147">
      <x:c r="G147" t="str">
        <x:f>IF(B2="No","Continue operation",IF(C2="No","Full shutdown",IF(OR(D2="No",E2="No",F2="No"),"Pause or restrict","Restart with controls")))</x:f>
        <x:v>Pause or restrict</x:v>
      </x:c>
    </x:row>
    <x:row r="148">
      <x:c r="G148" t="str">
        <x:f>IF(B2="No","Continue operation",IF(C2="No","Full shutdown",IF(OR(D2="No",E2="No",F2="No"),"Pause or restrict","Restart with controls")))</x:f>
        <x:v>Pause or restrict</x:v>
      </x:c>
    </x:row>
    <x:row r="149">
      <x:c r="G149" t="str">
        <x:f>IF(B2="No","Continue operation",IF(C2="No","Full shutdown",IF(OR(D2="No",E2="No",F2="No"),"Pause or restrict","Restart with controls")))</x:f>
        <x:v>Pause or restrict</x:v>
      </x:c>
    </x:row>
    <x:row r="150">
      <x:c r="G150" t="str">
        <x:f>IF(B2="No","Continue operation",IF(C2="No","Full shutdown",IF(OR(D2="No",E2="No",F2="No"),"Pause or restrict","Restart with controls")))</x:f>
        <x:v>Pause or restrict</x:v>
      </x:c>
    </x:row>
    <x:row r="151">
      <x:c r="G151" t="str">
        <x:f>IF(B2="No","Continue operation",IF(C2="No","Full shutdown",IF(OR(D2="No",E2="No",F2="No"),"Pause or restrict","Restart with controls")))</x:f>
        <x:v>Pause or restrict</x:v>
      </x:c>
    </x:row>
    <x:row r="152">
      <x:c r="G152" t="str">
        <x:f>IF(B2="No","Continue operation",IF(C2="No","Full shutdown",IF(OR(D2="No",E2="No",F2="No"),"Pause or restrict","Restart with controls")))</x:f>
        <x:v>Pause or restrict</x:v>
      </x:c>
    </x:row>
    <x:row r="153">
      <x:c r="G153" t="str">
        <x:f>IF(B2="No","Continue operation",IF(C2="No","Full shutdown",IF(OR(D2="No",E2="No",F2="No"),"Pause or restrict","Restart with controls")))</x:f>
        <x:v>Pause or restrict</x:v>
      </x:c>
    </x:row>
    <x:row r="154">
      <x:c r="G154" t="str">
        <x:f>IF(B2="No","Continue operation",IF(C2="No","Full shutdown",IF(OR(D2="No",E2="No",F2="No"),"Pause or restrict","Restart with controls")))</x:f>
        <x:v>Pause or restrict</x:v>
      </x:c>
    </x:row>
    <x:row r="155">
      <x:c r="G155" t="str">
        <x:f>IF(B2="No","Continue operation",IF(C2="No","Full shutdown",IF(OR(D2="No",E2="No",F2="No"),"Pause or restrict","Restart with controls")))</x:f>
        <x:v>Pause or restrict</x:v>
      </x:c>
    </x:row>
    <x:row r="156">
      <x:c r="G156" t="str">
        <x:f>IF(B2="No","Continue operation",IF(C2="No","Full shutdown",IF(OR(D2="No",E2="No",F2="No"),"Pause or restrict","Restart with controls")))</x:f>
        <x:v>Pause or restrict</x:v>
      </x:c>
    </x:row>
    <x:row r="157">
      <x:c r="G157" t="str">
        <x:f>IF(B2="No","Continue operation",IF(C2="No","Full shutdown",IF(OR(D2="No",E2="No",F2="No"),"Pause or restrict","Restart with controls")))</x:f>
        <x:v>Pause or restrict</x:v>
      </x:c>
    </x:row>
    <x:row r="158">
      <x:c r="G158" t="str">
        <x:f>IF(B2="No","Continue operation",IF(C2="No","Full shutdown",IF(OR(D2="No",E2="No",F2="No"),"Pause or restrict","Restart with controls")))</x:f>
        <x:v>Pause or restrict</x:v>
      </x:c>
    </x:row>
    <x:row r="159">
      <x:c r="G159" t="str">
        <x:f>IF(B2="No","Continue operation",IF(C2="No","Full shutdown",IF(OR(D2="No",E2="No",F2="No"),"Pause or restrict","Restart with controls")))</x:f>
        <x:v>Pause or restrict</x:v>
      </x:c>
    </x:row>
    <x:row r="160">
      <x:c r="G160" t="str">
        <x:f>IF(B2="No","Continue operation",IF(C2="No","Full shutdown",IF(OR(D2="No",E2="No",F2="No"),"Pause or restrict","Restart with controls")))</x:f>
        <x:v>Pause or restrict</x:v>
      </x:c>
    </x:row>
    <x:row r="161">
      <x:c r="G161" t="str">
        <x:f>IF(B2="No","Continue operation",IF(C2="No","Full shutdown",IF(OR(D2="No",E2="No",F2="No"),"Pause or restrict","Restart with controls")))</x:f>
        <x:v>Pause or restrict</x:v>
      </x:c>
    </x:row>
    <x:row r="162">
      <x:c r="G162" t="str">
        <x:f>IF(B2="No","Continue operation",IF(C2="No","Full shutdown",IF(OR(D2="No",E2="No",F2="No"),"Pause or restrict","Restart with controls")))</x:f>
        <x:v>Pause or restrict</x:v>
      </x:c>
    </x:row>
    <x:row r="163">
      <x:c r="G163" t="str">
        <x:f>IF(B2="No","Continue operation",IF(C2="No","Full shutdown",IF(OR(D2="No",E2="No",F2="No"),"Pause or restrict","Restart with controls")))</x:f>
        <x:v>Pause or restrict</x:v>
      </x:c>
    </x:row>
    <x:row r="164">
      <x:c r="G164" t="str">
        <x:f>IF(B2="No","Continue operation",IF(C2="No","Full shutdown",IF(OR(D2="No",E2="No",F2="No"),"Pause or restrict","Restart with controls")))</x:f>
        <x:v>Pause or restrict</x:v>
      </x:c>
    </x:row>
    <x:row r="165">
      <x:c r="G165" t="str">
        <x:f>IF(B2="No","Continue operation",IF(C2="No","Full shutdown",IF(OR(D2="No",E2="No",F2="No"),"Pause or restrict","Restart with controls")))</x:f>
        <x:v>Pause or restrict</x:v>
      </x:c>
    </x:row>
    <x:row r="166">
      <x:c r="G166" t="str">
        <x:f>IF(B2="No","Continue operation",IF(C2="No","Full shutdown",IF(OR(D2="No",E2="No",F2="No"),"Pause or restrict","Restart with controls")))</x:f>
        <x:v>Pause or restrict</x:v>
      </x:c>
    </x:row>
    <x:row r="167">
      <x:c r="G167" t="str">
        <x:f>IF(B2="No","Continue operation",IF(C2="No","Full shutdown",IF(OR(D2="No",E2="No",F2="No"),"Pause or restrict","Restart with controls")))</x:f>
        <x:v>Pause or restrict</x:v>
      </x:c>
    </x:row>
    <x:row r="168">
      <x:c r="G168" t="str">
        <x:f>IF(B2="No","Continue operation",IF(C2="No","Full shutdown",IF(OR(D2="No",E2="No",F2="No"),"Pause or restrict","Restart with controls")))</x:f>
        <x:v>Pause or restrict</x:v>
      </x:c>
    </x:row>
    <x:row r="169">
      <x:c r="G169" t="str">
        <x:f>IF(B2="No","Continue operation",IF(C2="No","Full shutdown",IF(OR(D2="No",E2="No",F2="No"),"Pause or restrict","Restart with controls")))</x:f>
        <x:v>Pause or restrict</x:v>
      </x:c>
    </x:row>
    <x:row r="170">
      <x:c r="G170" t="str">
        <x:f>IF(B2="No","Continue operation",IF(C2="No","Full shutdown",IF(OR(D2="No",E2="No",F2="No"),"Pause or restrict","Restart with controls")))</x:f>
        <x:v>Pause or restrict</x:v>
      </x:c>
    </x:row>
    <x:row r="171">
      <x:c r="G171" t="str">
        <x:f>IF(B2="No","Continue operation",IF(C2="No","Full shutdown",IF(OR(D2="No",E2="No",F2="No"),"Pause or restrict","Restart with controls")))</x:f>
        <x:v>Pause or restrict</x:v>
      </x:c>
    </x:row>
    <x:row r="172">
      <x:c r="G172" t="str">
        <x:f>IF(B2="No","Continue operation",IF(C2="No","Full shutdown",IF(OR(D2="No",E2="No",F2="No"),"Pause or restrict","Restart with controls")))</x:f>
        <x:v>Pause or restrict</x:v>
      </x:c>
    </x:row>
    <x:row r="173">
      <x:c r="G173" t="str">
        <x:f>IF(B2="No","Continue operation",IF(C2="No","Full shutdown",IF(OR(D2="No",E2="No",F2="No"),"Pause or restrict","Restart with controls")))</x:f>
        <x:v>Pause or restrict</x:v>
      </x:c>
    </x:row>
    <x:row r="174">
      <x:c r="G174" t="str">
        <x:f>IF(B2="No","Continue operation",IF(C2="No","Full shutdown",IF(OR(D2="No",E2="No",F2="No"),"Pause or restrict","Restart with controls")))</x:f>
        <x:v>Pause or restrict</x:v>
      </x:c>
    </x:row>
    <x:row r="175">
      <x:c r="G175" t="str">
        <x:f>IF(B2="No","Continue operation",IF(C2="No","Full shutdown",IF(OR(D2="No",E2="No",F2="No"),"Pause or restrict","Restart with controls")))</x:f>
        <x:v>Pause or restrict</x:v>
      </x:c>
    </x:row>
    <x:row r="176">
      <x:c r="G176" t="str">
        <x:f>IF(B2="No","Continue operation",IF(C2="No","Full shutdown",IF(OR(D2="No",E2="No",F2="No"),"Pause or restrict","Restart with controls")))</x:f>
        <x:v>Pause or restrict</x:v>
      </x:c>
    </x:row>
    <x:row r="177">
      <x:c r="G177" t="str">
        <x:f>IF(B2="No","Continue operation",IF(C2="No","Full shutdown",IF(OR(D2="No",E2="No",F2="No"),"Pause or restrict","Restart with controls")))</x:f>
        <x:v>Pause or restrict</x:v>
      </x:c>
    </x:row>
    <x:row r="178">
      <x:c r="G178" t="str">
        <x:f>IF(B2="No","Continue operation",IF(C2="No","Full shutdown",IF(OR(D2="No",E2="No",F2="No"),"Pause or restrict","Restart with controls")))</x:f>
        <x:v>Pause or restrict</x:v>
      </x:c>
    </x:row>
    <x:row r="179">
      <x:c r="G179" t="str">
        <x:f>IF(B2="No","Continue operation",IF(C2="No","Full shutdown",IF(OR(D2="No",E2="No",F2="No"),"Pause or restrict","Restart with controls")))</x:f>
        <x:v>Pause or restrict</x:v>
      </x:c>
    </x:row>
    <x:row r="180">
      <x:c r="G180" t="str">
        <x:f>IF(B2="No","Continue operation",IF(C2="No","Full shutdown",IF(OR(D2="No",E2="No",F2="No"),"Pause or restrict","Restart with controls")))</x:f>
        <x:v>Pause or restrict</x:v>
      </x:c>
    </x:row>
    <x:row r="181">
      <x:c r="G181" t="str">
        <x:f>IF(B2="No","Continue operation",IF(C2="No","Full shutdown",IF(OR(D2="No",E2="No",F2="No"),"Pause or restrict","Restart with controls")))</x:f>
        <x:v>Pause or restrict</x:v>
      </x:c>
    </x:row>
    <x:row r="182">
      <x:c r="G182" t="str">
        <x:f>IF(B2="No","Continue operation",IF(C2="No","Full shutdown",IF(OR(D2="No",E2="No",F2="No"),"Pause or restrict","Restart with controls")))</x:f>
        <x:v>Pause or restrict</x:v>
      </x:c>
    </x:row>
    <x:row r="183">
      <x:c r="G183" t="str">
        <x:f>IF(B2="No","Continue operation",IF(C2="No","Full shutdown",IF(OR(D2="No",E2="No",F2="No"),"Pause or restrict","Restart with controls")))</x:f>
        <x:v>Pause or restrict</x:v>
      </x:c>
    </x:row>
    <x:row r="184">
      <x:c r="G184" t="str">
        <x:f>IF(B2="No","Continue operation",IF(C2="No","Full shutdown",IF(OR(D2="No",E2="No",F2="No"),"Pause or restrict","Restart with controls")))</x:f>
        <x:v>Pause or restrict</x:v>
      </x:c>
    </x:row>
    <x:row r="185">
      <x:c r="G185" t="str">
        <x:f>IF(B2="No","Continue operation",IF(C2="No","Full shutdown",IF(OR(D2="No",E2="No",F2="No"),"Pause or restrict","Restart with controls")))</x:f>
        <x:v>Pause or restrict</x:v>
      </x:c>
    </x:row>
    <x:row r="186">
      <x:c r="G186" t="str">
        <x:f>IF(B2="No","Continue operation",IF(C2="No","Full shutdown",IF(OR(D2="No",E2="No",F2="No"),"Pause or restrict","Restart with controls")))</x:f>
        <x:v>Pause or restrict</x:v>
      </x:c>
    </x:row>
    <x:row r="187">
      <x:c r="G187" t="str">
        <x:f>IF(B2="No","Continue operation",IF(C2="No","Full shutdown",IF(OR(D2="No",E2="No",F2="No"),"Pause or restrict","Restart with controls")))</x:f>
        <x:v>Pause or restrict</x:v>
      </x:c>
    </x:row>
    <x:row r="188">
      <x:c r="G188" t="str">
        <x:f>IF(B2="No","Continue operation",IF(C2="No","Full shutdown",IF(OR(D2="No",E2="No",F2="No"),"Pause or restrict","Restart with controls")))</x:f>
        <x:v>Pause or restrict</x:v>
      </x:c>
    </x:row>
    <x:row r="189">
      <x:c r="G189" t="str">
        <x:f>IF(B2="No","Continue operation",IF(C2="No","Full shutdown",IF(OR(D2="No",E2="No",F2="No"),"Pause or restrict","Restart with controls")))</x:f>
        <x:v>Pause or restrict</x:v>
      </x:c>
    </x:row>
    <x:row r="190">
      <x:c r="G190" t="str">
        <x:f>IF(B2="No","Continue operation",IF(C2="No","Full shutdown",IF(OR(D2="No",E2="No",F2="No"),"Pause or restrict","Restart with controls")))</x:f>
        <x:v>Pause or restrict</x:v>
      </x:c>
    </x:row>
    <x:row r="191">
      <x:c r="G191" t="str">
        <x:f>IF(B2="No","Continue operation",IF(C2="No","Full shutdown",IF(OR(D2="No",E2="No",F2="No"),"Pause or restrict","Restart with controls")))</x:f>
        <x:v>Pause or restrict</x:v>
      </x:c>
    </x:row>
    <x:row r="192">
      <x:c r="G192" t="str">
        <x:f>IF(B2="No","Continue operation",IF(C2="No","Full shutdown",IF(OR(D2="No",E2="No",F2="No"),"Pause or restrict","Restart with controls")))</x:f>
        <x:v>Pause or restrict</x:v>
      </x:c>
    </x:row>
    <x:row r="193">
      <x:c r="G193" t="str">
        <x:f>IF(B2="No","Continue operation",IF(C2="No","Full shutdown",IF(OR(D2="No",E2="No",F2="No"),"Pause or restrict","Restart with controls")))</x:f>
        <x:v>Pause or restrict</x:v>
      </x:c>
    </x:row>
    <x:row r="194">
      <x:c r="G194" t="str">
        <x:f>IF(B2="No","Continue operation",IF(C2="No","Full shutdown",IF(OR(D2="No",E2="No",F2="No"),"Pause or restrict","Restart with controls")))</x:f>
        <x:v>Pause or restrict</x:v>
      </x:c>
    </x:row>
    <x:row r="195">
      <x:c r="G195" t="str">
        <x:f>IF(B2="No","Continue operation",IF(C2="No","Full shutdown",IF(OR(D2="No",E2="No",F2="No"),"Pause or restrict","Restart with controls")))</x:f>
        <x:v>Pause or restrict</x:v>
      </x:c>
    </x:row>
    <x:row r="196">
      <x:c r="G196" t="str">
        <x:f>IF(B2="No","Continue operation",IF(C2="No","Full shutdown",IF(OR(D2="No",E2="No",F2="No"),"Pause or restrict","Restart with controls")))</x:f>
        <x:v>Pause or restrict</x:v>
      </x:c>
    </x:row>
    <x:row r="197">
      <x:c r="G197" t="str">
        <x:f>IF(B2="No","Continue operation",IF(C2="No","Full shutdown",IF(OR(D2="No",E2="No",F2="No"),"Pause or restrict","Restart with controls")))</x:f>
        <x:v>Pause or restrict</x:v>
      </x:c>
    </x:row>
    <x:row r="198">
      <x:c r="G198" t="str">
        <x:f>IF(B2="No","Continue operation",IF(C2="No","Full shutdown",IF(OR(D2="No",E2="No",F2="No"),"Pause or restrict","Restart with controls")))</x:f>
        <x:v>Pause or restrict</x:v>
      </x:c>
    </x:row>
    <x:row r="199">
      <x:c r="G199" t="str">
        <x:f>IF(B2="No","Continue operation",IF(C2="No","Full shutdown",IF(OR(D2="No",E2="No",F2="No"),"Pause or restrict","Restart with controls")))</x:f>
        <x:v>Pause or restrict</x:v>
      </x:c>
    </x:row>
    <x:row r="200">
      <x:c r="G200" t="str">
        <x:f>IF(B2="No","Continue operation",IF(C2="No","Full shutdown",IF(OR(D2="No",E2="No",F2="No"),"Pause or restrict","Restart with controls")))</x:f>
        <x:v>Pause or restrict</x:v>
      </x:c>
    </x:row>
  </x:sheetData>
  <x:dataValidations count="1">
    <x:dataValidation type="list" sqref="B2:F200">
      <x:formula1>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b5b88dc41498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15" t="str">
        <x:v>Executive AI Governance Board Charter</x:v>
      </x:c>
    </x:row>
    <x:row r="3">
      <x:c r="A3" s="26" t="str">
        <x:v>Purpose</x:v>
      </x:c>
      <x:c r="B3" s="20" t="str">
        <x:v>Ensure AI systems are visible, owned, risk-classified, evidence-based, controlled, monitored, corrected, and stoppable.</x:v>
      </x:c>
      <x:c r="C3" s="20" t="str"/>
      <x:c r="D3" s="20" t="str"/>
      <x:c r="E3" s="20" t="str"/>
      <x:c r="F3" s="20" t="str"/>
    </x:row>
    <x:row r="4">
      <x:c r="A4" s="26" t="str">
        <x:v>Operating Law</x:v>
      </x:c>
      <x:c r="B4" s="20" t="str">
        <x:v>No AI system moves faster than ownership, evidence, authority, and control.</x:v>
      </x:c>
      <x:c r="C4" s="20" t="str"/>
      <x:c r="D4" s="20" t="str"/>
      <x:c r="E4" s="20" t="str"/>
      <x:c r="F4" s="20" t="str"/>
    </x:row>
    <x:row r="5">
      <x:c r="A5" s="26" t="str">
        <x:v>Scope</x:v>
      </x:c>
      <x:c r="B5" s="20" t="str">
        <x:v>High, Critical, Frontier, vendor AI with significant impact, autonomous agents, public-impact systems, incidents, and shutdown decisions.</x:v>
      </x:c>
      <x:c r="C5" s="20" t="str"/>
      <x:c r="D5" s="20" t="str"/>
      <x:c r="E5" s="20" t="str"/>
      <x:c r="F5" s="20" t="str"/>
    </x:row>
    <x:row r="6">
      <x:c r="A6" s="26" t="str">
        <x:v>Decision Types</x:v>
      </x:c>
      <x:c r="B6" s="20" t="str">
        <x:v>Approve; approve with restrictions; pilot only; require more evidence; reject; pause; shut down; retire.</x:v>
      </x:c>
      <x:c r="C6" s="20" t="str"/>
      <x:c r="D6" s="20" t="str"/>
      <x:c r="E6" s="20" t="str"/>
      <x:c r="F6" s="20" t="str"/>
    </x:row>
    <x:row r="7">
      <x:c r="A7" s="26" t="str">
        <x:v>Suggested Cadence</x:v>
      </x:c>
      <x:c r="B7" s="20" t="str">
        <x:v>Monthly during rollout; quarterly after stabilization; emergency sessions for Critical or Frontier incidents.</x:v>
      </x:c>
      <x:c r="C7" s="20" t="str"/>
      <x:c r="D7" s="20" t="str"/>
      <x:c r="E7" s="20" t="str"/>
      <x:c r="F7" s="20" t="str"/>
    </x:row>
    <x:row r="8">
      <x:c r="A8" s="26" t="str">
        <x:v>Core Metrics</x:v>
      </x:c>
      <x:c r="B8" s="20" t="str">
        <x:v>Inventoried systems; owned systems; risk-classified systems; High+ evidence completeness; vendor reviews; incidents; shutdown paths tested.</x:v>
      </x:c>
      <x:c r="C8" s="20" t="str"/>
      <x:c r="D8" s="20" t="str"/>
      <x:c r="E8" s="20" t="str"/>
      <x:c r="F8" s="20" t="str"/>
    </x:row>
  </x:sheetData>
  <x:mergeCells>
    <x:mergeCell ref="A1:F1"/>
  </x:mergeCells>
  <x:pageMargins left="0.7" right="0.7" top="0.75" bottom="0.75" header="0.3" footer="0.3"/>
</x:worksheet>
</file>